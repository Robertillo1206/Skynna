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9b55fb96833aad/Documentos/IMPORTANTE/SKYNNA/"/>
    </mc:Choice>
  </mc:AlternateContent>
  <xr:revisionPtr revIDLastSave="371" documentId="13_ncr:1_{5DC10BEA-CB75-4492-841B-348DD9594615}" xr6:coauthVersionLast="47" xr6:coauthVersionMax="47" xr10:uidLastSave="{D2ABA685-757D-4C85-B094-0D4F40A45638}"/>
  <bookViews>
    <workbookView xWindow="-110" yWindow="-110" windowWidth="19420" windowHeight="10300" activeTab="3" xr2:uid="{5D20007F-D109-452E-9F2D-C080E1AC47F4}"/>
  </bookViews>
  <sheets>
    <sheet name="TEMPORADA 24-25" sheetId="1" r:id="rId1"/>
    <sheet name="LIGA 24-25" sheetId="4" r:id="rId2"/>
    <sheet name="COPA 24-25" sheetId="5" r:id="rId3"/>
    <sheet name="LIGA 25-26" sheetId="9" r:id="rId4"/>
    <sheet name="TORNEOS 25-26" sheetId="11" r:id="rId5"/>
    <sheet name="PORRA AWARDS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9" i="9" l="1"/>
  <c r="AK7" i="9"/>
  <c r="AK8" i="9"/>
  <c r="AK9" i="9"/>
  <c r="AK10" i="9"/>
  <c r="AK11" i="9"/>
  <c r="AK12" i="9"/>
  <c r="AK13" i="9"/>
  <c r="AK14" i="9"/>
  <c r="AK15" i="9"/>
  <c r="AK16" i="9"/>
  <c r="AK17" i="9"/>
  <c r="AK18" i="9"/>
  <c r="AK6" i="9"/>
  <c r="AK5" i="9"/>
  <c r="AK4" i="9"/>
  <c r="P19" i="9"/>
  <c r="F40" i="9"/>
  <c r="Q19" i="9"/>
  <c r="H19" i="9"/>
  <c r="I19" i="9"/>
  <c r="J19" i="9"/>
  <c r="L5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P19" i="11"/>
  <c r="P5" i="11"/>
  <c r="P6" i="11"/>
  <c r="P8" i="11"/>
  <c r="P10" i="11"/>
  <c r="P11" i="11"/>
  <c r="P13" i="11"/>
  <c r="P14" i="11"/>
  <c r="P16" i="11"/>
  <c r="P17" i="11"/>
  <c r="P4" i="11"/>
  <c r="M19" i="11"/>
  <c r="L19" i="11"/>
  <c r="F19" i="11"/>
  <c r="E19" i="11"/>
  <c r="D19" i="11"/>
  <c r="C19" i="11"/>
  <c r="G18" i="11"/>
  <c r="I17" i="11"/>
  <c r="H17" i="11"/>
  <c r="G17" i="11"/>
  <c r="J17" i="11" s="1"/>
  <c r="G16" i="11"/>
  <c r="G15" i="11"/>
  <c r="G14" i="11"/>
  <c r="G13" i="11"/>
  <c r="G12" i="11"/>
  <c r="I11" i="11"/>
  <c r="H11" i="11"/>
  <c r="G11" i="11"/>
  <c r="J11" i="11" s="1"/>
  <c r="I10" i="11"/>
  <c r="H10" i="11"/>
  <c r="G10" i="11"/>
  <c r="J10" i="11" s="1"/>
  <c r="G9" i="11"/>
  <c r="I8" i="11"/>
  <c r="H8" i="11"/>
  <c r="G8" i="11"/>
  <c r="J8" i="11" s="1"/>
  <c r="G7" i="11"/>
  <c r="G6" i="11"/>
  <c r="I5" i="11"/>
  <c r="H5" i="11"/>
  <c r="G5" i="11"/>
  <c r="J5" i="11" s="1"/>
  <c r="I4" i="11"/>
  <c r="H4" i="11"/>
  <c r="G4" i="11"/>
  <c r="J4" i="11" s="1"/>
  <c r="M4" i="9"/>
  <c r="L4" i="9"/>
  <c r="K5" i="9"/>
  <c r="N5" i="9" s="1"/>
  <c r="K6" i="9"/>
  <c r="N6" i="9" s="1"/>
  <c r="K7" i="9"/>
  <c r="N7" i="9" s="1"/>
  <c r="K8" i="9"/>
  <c r="N8" i="9" s="1"/>
  <c r="K9" i="9"/>
  <c r="N9" i="9" s="1"/>
  <c r="K10" i="9"/>
  <c r="N10" i="9" s="1"/>
  <c r="K11" i="9"/>
  <c r="N11" i="9" s="1"/>
  <c r="K12" i="9"/>
  <c r="N12" i="9" s="1"/>
  <c r="K13" i="9"/>
  <c r="N13" i="9" s="1"/>
  <c r="K14" i="9"/>
  <c r="N14" i="9" s="1"/>
  <c r="K15" i="9"/>
  <c r="N15" i="9" s="1"/>
  <c r="K16" i="9"/>
  <c r="N16" i="9" s="1"/>
  <c r="K17" i="9"/>
  <c r="N17" i="9" s="1"/>
  <c r="K18" i="9"/>
  <c r="N18" i="9" s="1"/>
  <c r="K4" i="9"/>
  <c r="N4" i="9" s="1"/>
  <c r="D6" i="9"/>
  <c r="H27" i="1"/>
  <c r="Y25" i="5"/>
  <c r="H25" i="5"/>
  <c r="C31" i="5" s="1"/>
  <c r="C31" i="1" s="1"/>
  <c r="I19" i="1"/>
  <c r="I25" i="1" s="1"/>
  <c r="I12" i="1"/>
  <c r="I24" i="1"/>
  <c r="Y5" i="5"/>
  <c r="Y15" i="5"/>
  <c r="Y16" i="5"/>
  <c r="Y22" i="5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M24" i="4"/>
  <c r="L24" i="4"/>
  <c r="K24" i="4"/>
  <c r="N23" i="5"/>
  <c r="M23" i="5"/>
  <c r="L23" i="5"/>
  <c r="Y23" i="5"/>
  <c r="Q23" i="1"/>
  <c r="P23" i="1"/>
  <c r="O23" i="1"/>
  <c r="J23" i="1"/>
  <c r="J23" i="4"/>
  <c r="G23" i="1"/>
  <c r="F23" i="1"/>
  <c r="E23" i="1"/>
  <c r="C23" i="1"/>
  <c r="K23" i="5"/>
  <c r="Q4" i="1"/>
  <c r="Q5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4" i="1"/>
  <c r="P5" i="1"/>
  <c r="P8" i="1"/>
  <c r="P11" i="1"/>
  <c r="P12" i="1"/>
  <c r="P15" i="1"/>
  <c r="P17" i="1"/>
  <c r="P18" i="1"/>
  <c r="P19" i="1"/>
  <c r="P21" i="1"/>
  <c r="P22" i="1"/>
  <c r="P24" i="1"/>
  <c r="O4" i="1"/>
  <c r="O8" i="1"/>
  <c r="O11" i="1"/>
  <c r="O12" i="1"/>
  <c r="O15" i="1"/>
  <c r="O16" i="1"/>
  <c r="O17" i="1"/>
  <c r="O18" i="1"/>
  <c r="O21" i="1"/>
  <c r="O24" i="1"/>
  <c r="J8" i="1"/>
  <c r="J12" i="1"/>
  <c r="J17" i="1"/>
  <c r="J18" i="1"/>
  <c r="J21" i="1"/>
  <c r="J22" i="1"/>
  <c r="J24" i="1"/>
  <c r="H20" i="1"/>
  <c r="Q6" i="1"/>
  <c r="P6" i="1"/>
  <c r="P7" i="1"/>
  <c r="P9" i="1"/>
  <c r="P10" i="1"/>
  <c r="P13" i="1"/>
  <c r="P14" i="1"/>
  <c r="P16" i="1"/>
  <c r="P20" i="1"/>
  <c r="P4" i="1"/>
  <c r="O5" i="1"/>
  <c r="O6" i="1"/>
  <c r="O7" i="1"/>
  <c r="O9" i="1"/>
  <c r="O10" i="1"/>
  <c r="O13" i="1"/>
  <c r="O14" i="1"/>
  <c r="O19" i="1"/>
  <c r="O20" i="1"/>
  <c r="O22" i="1"/>
  <c r="J5" i="1"/>
  <c r="J6" i="1"/>
  <c r="J7" i="1"/>
  <c r="J9" i="1"/>
  <c r="J10" i="1"/>
  <c r="J11" i="1"/>
  <c r="J13" i="1"/>
  <c r="J14" i="1"/>
  <c r="J15" i="1"/>
  <c r="J16" i="1"/>
  <c r="J19" i="1"/>
  <c r="J20" i="1"/>
  <c r="J4" i="1"/>
  <c r="H5" i="1"/>
  <c r="H6" i="1"/>
  <c r="H7" i="1"/>
  <c r="H8" i="1"/>
  <c r="K8" i="1" s="1"/>
  <c r="H9" i="1"/>
  <c r="H10" i="1"/>
  <c r="H11" i="1"/>
  <c r="H13" i="1"/>
  <c r="H14" i="1"/>
  <c r="K14" i="1" s="1"/>
  <c r="H15" i="1"/>
  <c r="H16" i="1"/>
  <c r="H17" i="1"/>
  <c r="H18" i="1"/>
  <c r="H21" i="1"/>
  <c r="H22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4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4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4" i="1"/>
  <c r="E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M19" i="1" s="1"/>
  <c r="C20" i="1"/>
  <c r="C21" i="1"/>
  <c r="L21" i="1" s="1"/>
  <c r="C22" i="1"/>
  <c r="C24" i="1"/>
  <c r="C4" i="1"/>
  <c r="Y6" i="5"/>
  <c r="Y7" i="5"/>
  <c r="Y8" i="5"/>
  <c r="Y9" i="5"/>
  <c r="Y10" i="5"/>
  <c r="Y11" i="5"/>
  <c r="Y14" i="5"/>
  <c r="Y19" i="5"/>
  <c r="Y20" i="5"/>
  <c r="Y4" i="5"/>
  <c r="K4" i="5"/>
  <c r="L4" i="5"/>
  <c r="M4" i="5"/>
  <c r="N4" i="5"/>
  <c r="K5" i="5"/>
  <c r="K6" i="5"/>
  <c r="L6" i="5"/>
  <c r="M6" i="5"/>
  <c r="N6" i="5"/>
  <c r="K7" i="5"/>
  <c r="L7" i="5"/>
  <c r="M7" i="5"/>
  <c r="N7" i="5"/>
  <c r="K8" i="5"/>
  <c r="L8" i="5"/>
  <c r="M8" i="5"/>
  <c r="N8" i="5"/>
  <c r="K9" i="5"/>
  <c r="L9" i="5"/>
  <c r="M9" i="5"/>
  <c r="N9" i="5"/>
  <c r="K10" i="5"/>
  <c r="L10" i="5"/>
  <c r="M10" i="5"/>
  <c r="N10" i="5"/>
  <c r="K11" i="5"/>
  <c r="L11" i="5"/>
  <c r="M11" i="5"/>
  <c r="N11" i="5"/>
  <c r="K12" i="5"/>
  <c r="K13" i="5"/>
  <c r="K14" i="5"/>
  <c r="L14" i="5"/>
  <c r="M14" i="5"/>
  <c r="N14" i="5"/>
  <c r="K15" i="5"/>
  <c r="K16" i="5"/>
  <c r="K17" i="5"/>
  <c r="K18" i="5"/>
  <c r="K19" i="5"/>
  <c r="L19" i="5"/>
  <c r="M19" i="5"/>
  <c r="N19" i="5"/>
  <c r="K20" i="5"/>
  <c r="L20" i="5"/>
  <c r="M20" i="5"/>
  <c r="N20" i="5"/>
  <c r="K21" i="5"/>
  <c r="K22" i="5"/>
  <c r="K24" i="5"/>
  <c r="Q25" i="5"/>
  <c r="P25" i="5"/>
  <c r="J25" i="5"/>
  <c r="G25" i="5"/>
  <c r="F25" i="5"/>
  <c r="E25" i="5"/>
  <c r="C25" i="5"/>
  <c r="D4" i="5" s="1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I25" i="4"/>
  <c r="H25" i="4"/>
  <c r="J25" i="4" s="1"/>
  <c r="G25" i="4"/>
  <c r="F25" i="4"/>
  <c r="E25" i="4"/>
  <c r="C25" i="4"/>
  <c r="D23" i="4" s="1"/>
  <c r="AI24" i="4"/>
  <c r="J24" i="4"/>
  <c r="AI22" i="4"/>
  <c r="M22" i="4"/>
  <c r="L22" i="4"/>
  <c r="K22" i="4"/>
  <c r="J22" i="4"/>
  <c r="AI21" i="4"/>
  <c r="M21" i="4"/>
  <c r="L21" i="4"/>
  <c r="K21" i="4"/>
  <c r="J21" i="4"/>
  <c r="AI20" i="4"/>
  <c r="M20" i="4"/>
  <c r="L20" i="4"/>
  <c r="K20" i="4"/>
  <c r="J20" i="4"/>
  <c r="AI19" i="4"/>
  <c r="M19" i="4"/>
  <c r="L19" i="4"/>
  <c r="K19" i="4"/>
  <c r="J19" i="4"/>
  <c r="AI18" i="4"/>
  <c r="M18" i="4"/>
  <c r="L18" i="4"/>
  <c r="K18" i="4"/>
  <c r="J18" i="4"/>
  <c r="AI17" i="4"/>
  <c r="M17" i="4"/>
  <c r="L17" i="4"/>
  <c r="K17" i="4"/>
  <c r="J17" i="4"/>
  <c r="AI16" i="4"/>
  <c r="M16" i="4"/>
  <c r="L16" i="4"/>
  <c r="K16" i="4"/>
  <c r="J16" i="4"/>
  <c r="AI15" i="4"/>
  <c r="M15" i="4"/>
  <c r="L15" i="4"/>
  <c r="K15" i="4"/>
  <c r="J15" i="4"/>
  <c r="AI14" i="4"/>
  <c r="M14" i="4"/>
  <c r="L14" i="4"/>
  <c r="K14" i="4"/>
  <c r="J14" i="4"/>
  <c r="AI13" i="4"/>
  <c r="M13" i="4"/>
  <c r="L13" i="4"/>
  <c r="K13" i="4"/>
  <c r="J13" i="4"/>
  <c r="AI12" i="4"/>
  <c r="M12" i="4"/>
  <c r="L12" i="4"/>
  <c r="K12" i="4"/>
  <c r="J12" i="4"/>
  <c r="AI11" i="4"/>
  <c r="M11" i="4"/>
  <c r="L11" i="4"/>
  <c r="K11" i="4"/>
  <c r="J11" i="4"/>
  <c r="AI10" i="4"/>
  <c r="M10" i="4"/>
  <c r="L10" i="4"/>
  <c r="K10" i="4"/>
  <c r="J10" i="4"/>
  <c r="AI9" i="4"/>
  <c r="M9" i="4"/>
  <c r="L9" i="4"/>
  <c r="K9" i="4"/>
  <c r="J9" i="4"/>
  <c r="AI8" i="4"/>
  <c r="M8" i="4"/>
  <c r="L8" i="4"/>
  <c r="K8" i="4"/>
  <c r="J8" i="4"/>
  <c r="AI7" i="4"/>
  <c r="M7" i="4"/>
  <c r="L7" i="4"/>
  <c r="K7" i="4"/>
  <c r="J7" i="4"/>
  <c r="AI6" i="4"/>
  <c r="M6" i="4"/>
  <c r="L6" i="4"/>
  <c r="K6" i="4"/>
  <c r="J6" i="4"/>
  <c r="AI5" i="4"/>
  <c r="M5" i="4"/>
  <c r="L5" i="4"/>
  <c r="K5" i="4"/>
  <c r="J5" i="4"/>
  <c r="AI4" i="4"/>
  <c r="M4" i="4"/>
  <c r="L4" i="4"/>
  <c r="K4" i="4"/>
  <c r="J4" i="4"/>
  <c r="C26" i="9" l="1"/>
  <c r="C25" i="11"/>
  <c r="D17" i="9"/>
  <c r="D9" i="9"/>
  <c r="D16" i="9"/>
  <c r="D8" i="9"/>
  <c r="D13" i="9"/>
  <c r="D5" i="9"/>
  <c r="D12" i="9"/>
  <c r="D4" i="9"/>
  <c r="D19" i="9"/>
  <c r="D15" i="9"/>
  <c r="D11" i="9"/>
  <c r="D7" i="9"/>
  <c r="D18" i="9"/>
  <c r="D14" i="9"/>
  <c r="D10" i="9"/>
  <c r="L13" i="1"/>
  <c r="M21" i="1"/>
  <c r="K22" i="1"/>
  <c r="K21" i="1"/>
  <c r="M15" i="1"/>
  <c r="L24" i="1"/>
  <c r="N24" i="1"/>
  <c r="L6" i="1"/>
  <c r="L23" i="1"/>
  <c r="K19" i="1"/>
  <c r="D23" i="5"/>
  <c r="D24" i="5"/>
  <c r="N23" i="1"/>
  <c r="M23" i="1"/>
  <c r="K6" i="1"/>
  <c r="N5" i="1"/>
  <c r="M24" i="1"/>
  <c r="L18" i="1"/>
  <c r="L10" i="1"/>
  <c r="N6" i="1"/>
  <c r="M22" i="1"/>
  <c r="K23" i="1"/>
  <c r="N22" i="1"/>
  <c r="M13" i="1"/>
  <c r="K10" i="1"/>
  <c r="C31" i="4"/>
  <c r="L22" i="1"/>
  <c r="D7" i="4"/>
  <c r="D11" i="4"/>
  <c r="D15" i="4"/>
  <c r="D21" i="4"/>
  <c r="D24" i="4"/>
  <c r="L17" i="1"/>
  <c r="L9" i="1"/>
  <c r="L5" i="1"/>
  <c r="K12" i="1"/>
  <c r="M6" i="1"/>
  <c r="N10" i="1"/>
  <c r="D5" i="4"/>
  <c r="D9" i="4"/>
  <c r="D17" i="4"/>
  <c r="D19" i="4"/>
  <c r="K13" i="1"/>
  <c r="M12" i="1"/>
  <c r="E25" i="1"/>
  <c r="G25" i="1"/>
  <c r="K4" i="1"/>
  <c r="L19" i="1"/>
  <c r="K15" i="1"/>
  <c r="N11" i="1"/>
  <c r="L7" i="1"/>
  <c r="N14" i="1"/>
  <c r="M9" i="1"/>
  <c r="M18" i="1"/>
  <c r="D13" i="4"/>
  <c r="D4" i="4"/>
  <c r="D6" i="4"/>
  <c r="D8" i="4"/>
  <c r="D10" i="4"/>
  <c r="D12" i="4"/>
  <c r="D14" i="4"/>
  <c r="D16" i="4"/>
  <c r="D18" i="4"/>
  <c r="D20" i="4"/>
  <c r="D22" i="4"/>
  <c r="P25" i="1"/>
  <c r="L15" i="1"/>
  <c r="N18" i="1"/>
  <c r="L14" i="1"/>
  <c r="N19" i="1"/>
  <c r="M17" i="1"/>
  <c r="K9" i="1"/>
  <c r="M14" i="1"/>
  <c r="K7" i="1"/>
  <c r="N16" i="1"/>
  <c r="J25" i="1"/>
  <c r="N15" i="1"/>
  <c r="M10" i="1"/>
  <c r="K5" i="1"/>
  <c r="N21" i="1"/>
  <c r="N17" i="1"/>
  <c r="N13" i="1"/>
  <c r="N9" i="1"/>
  <c r="H25" i="1"/>
  <c r="M4" i="1"/>
  <c r="L16" i="1"/>
  <c r="M8" i="1"/>
  <c r="F25" i="1"/>
  <c r="K20" i="1"/>
  <c r="K18" i="1"/>
  <c r="N12" i="1"/>
  <c r="L11" i="1"/>
  <c r="N7" i="1"/>
  <c r="K24" i="1"/>
  <c r="M5" i="1"/>
  <c r="K17" i="1"/>
  <c r="K11" i="1"/>
  <c r="Q25" i="1"/>
  <c r="L20" i="1"/>
  <c r="K16" i="1"/>
  <c r="L12" i="1"/>
  <c r="N20" i="1"/>
  <c r="M11" i="1"/>
  <c r="N8" i="1"/>
  <c r="L8" i="1"/>
  <c r="M7" i="1"/>
  <c r="L4" i="1"/>
  <c r="M20" i="1"/>
  <c r="M16" i="1"/>
  <c r="C25" i="1"/>
  <c r="N4" i="1"/>
  <c r="D21" i="5"/>
  <c r="D19" i="5"/>
  <c r="D17" i="5"/>
  <c r="D15" i="5"/>
  <c r="D13" i="5"/>
  <c r="D11" i="5"/>
  <c r="D9" i="5"/>
  <c r="D7" i="5"/>
  <c r="D5" i="5"/>
  <c r="D22" i="5"/>
  <c r="D20" i="5"/>
  <c r="D18" i="5"/>
  <c r="D16" i="5"/>
  <c r="D14" i="5"/>
  <c r="D12" i="5"/>
  <c r="D10" i="5"/>
  <c r="D8" i="5"/>
  <c r="D6" i="5"/>
  <c r="K25" i="5"/>
  <c r="D23" i="1" l="1"/>
  <c r="D24" i="1"/>
  <c r="K25" i="1"/>
  <c r="D7" i="1"/>
  <c r="D5" i="1"/>
  <c r="D19" i="1"/>
  <c r="D22" i="1"/>
  <c r="D17" i="1"/>
  <c r="D8" i="1"/>
  <c r="D6" i="1"/>
  <c r="D20" i="1"/>
  <c r="D18" i="1"/>
  <c r="D4" i="1"/>
  <c r="D12" i="1"/>
  <c r="D9" i="1"/>
  <c r="D10" i="1"/>
  <c r="D11" i="1"/>
  <c r="D16" i="1"/>
  <c r="D13" i="1"/>
  <c r="D14" i="1"/>
  <c r="D15" i="1"/>
  <c r="D21" i="1"/>
</calcChain>
</file>

<file path=xl/sharedStrings.xml><?xml version="1.0" encoding="utf-8"?>
<sst xmlns="http://schemas.openxmlformats.org/spreadsheetml/2006/main" count="404" uniqueCount="120">
  <si>
    <t>Jugador</t>
  </si>
  <si>
    <t>Asistencias</t>
  </si>
  <si>
    <t>GxP</t>
  </si>
  <si>
    <t>AxP</t>
  </si>
  <si>
    <t>G+AxP</t>
  </si>
  <si>
    <t>Partidos jugados</t>
  </si>
  <si>
    <t>P Ganados</t>
  </si>
  <si>
    <t>P Empatados</t>
  </si>
  <si>
    <t>P Perdidos</t>
  </si>
  <si>
    <t>AYJ</t>
  </si>
  <si>
    <t>Jibs</t>
  </si>
  <si>
    <t>Negro</t>
  </si>
  <si>
    <t>Toromax</t>
  </si>
  <si>
    <t>Ped</t>
  </si>
  <si>
    <t>Velxscx</t>
  </si>
  <si>
    <t>Mini Pekka</t>
  </si>
  <si>
    <t>Chumi</t>
  </si>
  <si>
    <t>Tetis</t>
  </si>
  <si>
    <t>Gabacho</t>
  </si>
  <si>
    <t>Musculitos</t>
  </si>
  <si>
    <t>Robertillo</t>
  </si>
  <si>
    <t>Rana</t>
  </si>
  <si>
    <t>Chals</t>
  </si>
  <si>
    <t>Toad</t>
  </si>
  <si>
    <t>Nando ©</t>
  </si>
  <si>
    <t>2bleKK</t>
  </si>
  <si>
    <t>Tarjetas</t>
  </si>
  <si>
    <t>Amarillas</t>
  </si>
  <si>
    <t>Rojas</t>
  </si>
  <si>
    <t>MVP</t>
  </si>
  <si>
    <r>
      <t>Goles (</t>
    </r>
    <r>
      <rPr>
        <sz val="11"/>
        <color rgb="FFFF0000"/>
        <rFont val="Aptos Narrow"/>
        <family val="2"/>
        <scheme val="minor"/>
      </rPr>
      <t>encajados</t>
    </r>
    <r>
      <rPr>
        <sz val="11"/>
        <color theme="1"/>
        <rFont val="Aptos Narrow"/>
        <family val="2"/>
        <scheme val="minor"/>
      </rPr>
      <t>)</t>
    </r>
  </si>
  <si>
    <t>Ronni</t>
  </si>
  <si>
    <t>TOTAL</t>
  </si>
  <si>
    <t>Pichichi</t>
  </si>
  <si>
    <t>Máximo asistente</t>
  </si>
  <si>
    <t>Balón de Oro</t>
  </si>
  <si>
    <t>Mayor Carisma</t>
  </si>
  <si>
    <t>Más huevos</t>
  </si>
  <si>
    <t>Puskas</t>
  </si>
  <si>
    <t>Bota de oro</t>
  </si>
  <si>
    <t>Revelación</t>
  </si>
  <si>
    <t>Guante de oro</t>
  </si>
  <si>
    <t>Al compromiso</t>
  </si>
  <si>
    <t>Rookie del año</t>
  </si>
  <si>
    <t>Mayor mejora</t>
  </si>
  <si>
    <t>Impuntual</t>
  </si>
  <si>
    <t>Irregular</t>
  </si>
  <si>
    <t>Mejor fan</t>
  </si>
  <si>
    <t>Puntualidad</t>
  </si>
  <si>
    <t>Entrada pata negra</t>
  </si>
  <si>
    <t>Diferencia goles</t>
  </si>
  <si>
    <t>Velas</t>
  </si>
  <si>
    <t>Nota media</t>
  </si>
  <si>
    <t>Notas J3</t>
  </si>
  <si>
    <t>mas activo tercer tiempo</t>
  </si>
  <si>
    <t>Traer mejor fan</t>
  </si>
  <si>
    <t>Notas J4</t>
  </si>
  <si>
    <t>Notas J5</t>
  </si>
  <si>
    <t>Notas J6</t>
  </si>
  <si>
    <t>Notas J7</t>
  </si>
  <si>
    <t>Notas J8</t>
  </si>
  <si>
    <t>Notas J9</t>
  </si>
  <si>
    <t>Notas J10</t>
  </si>
  <si>
    <t>Notas J11</t>
  </si>
  <si>
    <t>Notas J12</t>
  </si>
  <si>
    <t>Notas J13</t>
  </si>
  <si>
    <t>Notas J14</t>
  </si>
  <si>
    <t>Notas J15</t>
  </si>
  <si>
    <t>Notas J16</t>
  </si>
  <si>
    <t>Notas J17</t>
  </si>
  <si>
    <t>Notas J18</t>
  </si>
  <si>
    <t>Notas J19</t>
  </si>
  <si>
    <t>Notas J20</t>
  </si>
  <si>
    <t>G+A</t>
  </si>
  <si>
    <t>% Asistencia</t>
  </si>
  <si>
    <t>Jugador2</t>
  </si>
  <si>
    <t>Niel</t>
  </si>
  <si>
    <t>Fatito</t>
  </si>
  <si>
    <t>Hermida</t>
  </si>
  <si>
    <t>EQUIPO</t>
  </si>
  <si>
    <t>Goles PP rival</t>
  </si>
  <si>
    <t>Notas J1</t>
  </si>
  <si>
    <t>Notas J2</t>
  </si>
  <si>
    <t>Notas Octavos</t>
  </si>
  <si>
    <t>Notas Cuartos</t>
  </si>
  <si>
    <t>Notas Semis</t>
  </si>
  <si>
    <t>Saro</t>
  </si>
  <si>
    <t>Nota media global</t>
  </si>
  <si>
    <t>Menen</t>
  </si>
  <si>
    <t>-</t>
  </si>
  <si>
    <t>Goles encajados</t>
  </si>
  <si>
    <t xml:space="preserve">Goles </t>
  </si>
  <si>
    <t>Colis</t>
  </si>
  <si>
    <t>dnf</t>
  </si>
  <si>
    <t>Notas 3 y 4</t>
  </si>
  <si>
    <t>Goles de invitados</t>
  </si>
  <si>
    <t>5.5</t>
  </si>
  <si>
    <t>Participaciones</t>
  </si>
  <si>
    <t>Notas Llano Ñopo</t>
  </si>
  <si>
    <t>Resultado: Subcampeones</t>
  </si>
  <si>
    <t>---</t>
  </si>
  <si>
    <t xml:space="preserve">Nando </t>
  </si>
  <si>
    <t>Deivo</t>
  </si>
  <si>
    <t>Notas Torneo Navidad</t>
  </si>
  <si>
    <t>Resultado: Fase de grupos</t>
  </si>
  <si>
    <t>David Fer</t>
  </si>
  <si>
    <t>Borjita</t>
  </si>
  <si>
    <t>Goles encajados invitados</t>
  </si>
  <si>
    <t>Asist de invitados</t>
  </si>
  <si>
    <t>Invitados</t>
  </si>
  <si>
    <t>Partidos</t>
  </si>
  <si>
    <t>Goles</t>
  </si>
  <si>
    <t>Asist</t>
  </si>
  <si>
    <t>Ramón</t>
  </si>
  <si>
    <t>CCB</t>
  </si>
  <si>
    <t>Crespo uni jorge</t>
  </si>
  <si>
    <t>Piedras</t>
  </si>
  <si>
    <t>Invitados honoríficos</t>
  </si>
  <si>
    <t>1 amarilla</t>
  </si>
  <si>
    <t>1 roja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</si>
</sst>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;[Red]0"/>
    <numFmt numFmtId="165" formatCode="0.0;[Red]0.0"/>
    <numFmt numFmtId="166" formatCode="0.00;[Red]0.00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B9B9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quotePrefix="1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/>
    <xf numFmtId="0" fontId="1" fillId="2" borderId="3" xfId="0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166" fontId="5" fillId="3" borderId="0" xfId="0" applyNumberFormat="1" applyFont="1" applyFill="1" applyAlignment="1">
      <alignment horizontal="center" vertical="center"/>
    </xf>
    <xf numFmtId="166" fontId="1" fillId="3" borderId="0" xfId="0" applyNumberFormat="1" applyFont="1" applyFill="1" applyAlignment="1">
      <alignment horizontal="center" vertical="center"/>
    </xf>
    <xf numFmtId="0" fontId="0" fillId="5" borderId="0" xfId="0" applyFill="1"/>
    <xf numFmtId="164" fontId="0" fillId="0" borderId="0" xfId="1" applyNumberFormat="1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7" borderId="0" xfId="0" applyFill="1"/>
    <xf numFmtId="166" fontId="0" fillId="8" borderId="0" xfId="0" applyNumberFormat="1" applyFill="1" applyAlignment="1">
      <alignment horizontal="center" vertical="center"/>
    </xf>
    <xf numFmtId="166" fontId="7" fillId="8" borderId="0" xfId="0" applyNumberFormat="1" applyFont="1" applyFill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9" fontId="0" fillId="9" borderId="0" xfId="1" applyFont="1" applyFill="1" applyAlignment="1">
      <alignment horizontal="center" vertical="center"/>
    </xf>
    <xf numFmtId="165" fontId="0" fillId="9" borderId="0" xfId="0" applyNumberFormat="1" applyFill="1" applyAlignment="1">
      <alignment horizontal="center" vertical="center"/>
    </xf>
    <xf numFmtId="166" fontId="0" fillId="9" borderId="0" xfId="0" applyNumberFormat="1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9" fontId="0" fillId="7" borderId="0" xfId="1" applyFont="1" applyFill="1" applyAlignment="1">
      <alignment horizontal="center" vertical="center"/>
    </xf>
    <xf numFmtId="166" fontId="0" fillId="7" borderId="0" xfId="0" applyNumberFormat="1" applyFill="1" applyAlignment="1">
      <alignment horizontal="center" vertical="center"/>
    </xf>
    <xf numFmtId="0" fontId="0" fillId="9" borderId="0" xfId="0" applyFill="1"/>
    <xf numFmtId="165" fontId="0" fillId="3" borderId="0" xfId="0" applyNumberForma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8" fillId="3" borderId="6" xfId="0" applyFont="1" applyFill="1" applyBorder="1" applyAlignment="1">
      <alignment horizontal="center"/>
    </xf>
    <xf numFmtId="166" fontId="0" fillId="9" borderId="0" xfId="0" quotePrefix="1" applyNumberForma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133">
    <dxf>
      <alignment horizontal="center" vertical="bottom" textRotation="0" wrapText="0" indent="0" justifyLastLine="0" shrinkToFit="0" readingOrder="0"/>
    </dxf>
    <dxf>
      <numFmt numFmtId="164" formatCode="0;[Red]0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0;[Red]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5" formatCode="0.0;[Red]0.0"/>
      <alignment horizontal="center" vertical="center" textRotation="0" wrapText="0" indent="0" justifyLastLine="0" shrinkToFit="0" readingOrder="0"/>
    </dxf>
    <dxf>
      <numFmt numFmtId="165" formatCode="0.0;[Red]0.0"/>
      <alignment horizontal="center" vertical="center" textRotation="0" wrapText="0" indent="0" justifyLastLine="0" shrinkToFit="0" readingOrder="0"/>
    </dxf>
    <dxf>
      <numFmt numFmtId="165" formatCode="0.0;[Red]0.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;[Red]0"/>
      <alignment horizontal="center" vertical="bottom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5" formatCode="0.0;[Red]0.0"/>
      <alignment horizontal="center" vertical="center" textRotation="0" wrapText="0" indent="0" justifyLastLine="0" shrinkToFit="0" readingOrder="0"/>
    </dxf>
    <dxf>
      <numFmt numFmtId="165" formatCode="0.0;[Red]0.0"/>
      <alignment horizontal="center" vertical="center" textRotation="0" wrapText="0" indent="0" justifyLastLine="0" shrinkToFit="0" readingOrder="0"/>
    </dxf>
    <dxf>
      <numFmt numFmtId="165" formatCode="0.0;[Red]0.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;[Red]0"/>
      <alignment horizontal="center" vertical="bottom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5" formatCode="0.0;[Red]0.0"/>
      <alignment horizontal="center" vertical="center" textRotation="0" wrapText="0" indent="0" justifyLastLine="0" shrinkToFit="0" readingOrder="0"/>
    </dxf>
    <dxf>
      <numFmt numFmtId="165" formatCode="0.0;[Red]0.0"/>
      <alignment horizontal="center" vertical="center" textRotation="0" wrapText="0" indent="0" justifyLastLine="0" shrinkToFit="0" readingOrder="0"/>
    </dxf>
    <dxf>
      <numFmt numFmtId="165" formatCode="0.0;[Red]0.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;[Red]0"/>
      <alignment horizontal="center" vertical="bottom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5" formatCode="0.0;[Red]0.0"/>
      <alignment horizontal="center" vertical="center" textRotation="0" wrapText="0" indent="0" justifyLastLine="0" shrinkToFit="0" readingOrder="0"/>
    </dxf>
    <dxf>
      <numFmt numFmtId="165" formatCode="0.0;[Red]0.0"/>
      <alignment horizontal="center" vertical="center" textRotation="0" wrapText="0" indent="0" justifyLastLine="0" shrinkToFit="0" readingOrder="0"/>
    </dxf>
    <dxf>
      <numFmt numFmtId="165" formatCode="0.0;[Red]0.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;[Red]0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0;[Red]0"/>
      <alignment horizontal="center" vertical="center" textRotation="0" wrapText="0" indent="0" justifyLastLine="0" shrinkToFit="0" readingOrder="0"/>
    </dxf>
    <dxf>
      <numFmt numFmtId="166" formatCode="0.00;[Red]0.0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5" formatCode="0.0;[Red]0.0"/>
      <alignment horizontal="center" vertical="center" textRotation="0" wrapText="0" indent="0" justifyLastLine="0" shrinkToFit="0" readingOrder="0"/>
    </dxf>
    <dxf>
      <numFmt numFmtId="165" formatCode="0.0;[Red]0.0"/>
      <alignment horizontal="center" vertical="center" textRotation="0" wrapText="0" indent="0" justifyLastLine="0" shrinkToFit="0" readingOrder="0"/>
    </dxf>
    <dxf>
      <numFmt numFmtId="165" formatCode="0.0;[Red]0.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4" formatCode="0;[Red]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patternFill patternType="none">
          <bgColor auto="1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 style="thin">
          <color rgb="FFFF0000"/>
        </vertical>
        <horizontal style="thin">
          <color rgb="FFFF0000"/>
        </horizontal>
      </border>
    </dxf>
    <dxf>
      <fill>
        <patternFill>
          <bgColor theme="0"/>
        </patternFill>
      </fill>
    </dxf>
    <dxf>
      <fill>
        <patternFill>
          <bgColor rgb="FFFF0000"/>
        </patternFill>
      </fill>
    </dxf>
  </dxfs>
  <tableStyles count="4" defaultTableStyle="TableStyleMedium2" defaultPivotStyle="PivotStyleLight16">
    <tableStyle name="Estilo de tabla 1" pivot="0" count="1" xr9:uid="{266AA7EB-CD0F-42AF-8775-4346FFBA5435}">
      <tableStyleElement type="wholeTable" dxfId="132"/>
    </tableStyle>
    <tableStyle name="Estilo de tabla 2" pivot="0" count="1" xr9:uid="{74C857CD-50F9-4F14-8EF3-39996FB951B0}">
      <tableStyleElement type="wholeTable" dxfId="131"/>
    </tableStyle>
    <tableStyle name="Estilo de tabla 3" pivot="0" count="1" xr9:uid="{A6D433A7-858B-40DC-A4B5-8C55E1D76827}">
      <tableStyleElement type="wholeTable" dxfId="130"/>
    </tableStyle>
    <tableStyle name="Estilo de tabla 4" pivot="0" count="2" xr9:uid="{ACAC80D2-955E-48FA-92CA-E958DA4CAC86}">
      <tableStyleElement type="wholeTable" dxfId="129"/>
      <tableStyleElement type="firstColumnStripe" size="4"/>
    </tableStyle>
  </tableStyles>
  <colors>
    <mruColors>
      <color rgb="FFFFB9B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0D1844-3D8D-409E-A99E-522820C60075}" name="Tabla2" displayName="Tabla2" ref="B3:R25" totalsRowShown="0" headerRowDxfId="106" dataDxfId="105">
  <autoFilter ref="B3:R25" xr:uid="{F40D1844-3D8D-409E-A99E-522820C6007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7FE203C5-542B-4B38-ACFF-63ED14FCB2FB}" name="Jugador" dataDxfId="104"/>
    <tableColumn id="2" xr3:uid="{267D5854-2E51-4776-8E66-8105605A9E9A}" name="Partidos jugados" dataDxfId="103"/>
    <tableColumn id="34" xr3:uid="{BD2488D8-6F3E-4708-A638-20779877A39D}" name="% Asistencia" dataDxfId="102">
      <calculatedColumnFormula>+Tabla2[[#This Row],[Partidos jugados]]/$C$25</calculatedColumnFormula>
    </tableColumn>
    <tableColumn id="3" xr3:uid="{1C4D4C4E-74E1-4585-94DD-42009DB733A2}" name="P Ganados" dataDxfId="101"/>
    <tableColumn id="4" xr3:uid="{F1B18ECF-9265-455B-A2DF-7FE9F121A768}" name="P Empatados" dataDxfId="100"/>
    <tableColumn id="5" xr3:uid="{8AADC159-DF7B-4876-8B63-102C55230170}" name="P Perdidos" dataDxfId="99"/>
    <tableColumn id="6" xr3:uid="{47F1334B-181F-4D62-8848-1C0572F19D80}" name="Goles " dataDxfId="98"/>
    <tableColumn id="15" xr3:uid="{88BF2733-E3A7-4EA8-A84B-66977E781E3A}" name="Goles encajados" dataDxfId="97">
      <calculatedColumnFormula>+Tabla268[[#This Row],[Goles ]]+Tabla26[[#This Row],[Goles (encajados)]]</calculatedColumnFormula>
    </tableColumn>
    <tableColumn id="7" xr3:uid="{2EB0EA6D-BAC3-40F1-9DD8-48E8220E5A8E}" name="Asistencias" dataDxfId="96"/>
    <tableColumn id="33" xr3:uid="{CF2D2C34-BC85-4772-8423-5323685520BD}" name="G+A" dataDxfId="95">
      <calculatedColumnFormula>+Tabla2[[#This Row],[Goles ]]+Tabla2[[#This Row],[Asistencias]]</calculatedColumnFormula>
    </tableColumn>
    <tableColumn id="8" xr3:uid="{D947D816-15BA-4E99-A55F-D411FAB760AC}" name="GxP" dataDxfId="94"/>
    <tableColumn id="9" xr3:uid="{D96F9FEF-434C-4F26-9AF4-9B35A6A4BEEC}" name="AxP" dataDxfId="93"/>
    <tableColumn id="10" xr3:uid="{745BF949-8680-4488-BE53-2D229E71DE9F}" name="G+AxP" dataDxfId="92"/>
    <tableColumn id="11" xr3:uid="{91D9D7A1-E478-48CE-831F-841ED115CE39}" name="MVP" dataDxfId="91"/>
    <tableColumn id="12" xr3:uid="{4B87F684-92B9-4588-8DBA-4B7A335A380A}" name="Amarillas" dataDxfId="90"/>
    <tableColumn id="13" xr3:uid="{CB9069CF-170C-47EE-873C-66DE13E47EE8}" name="Rojas" dataDxfId="89"/>
    <tableColumn id="14" xr3:uid="{0A0CF1B0-FDCE-4A90-84A8-009D4EC94837}" name="Nota media global" dataDxfId="88">
      <calculatedColumnFormula>(SUM(Tabla268[[#This Row],[Notas J1]:[Notas 3 y 4]])+SUM(Tabla26[[#This Row],[Notas J3]:[Notas J20]]))/(COUNTIF(Tabla268[[#This Row],[Notas J1]:[Notas 3 y 4]],"&gt;0")+COUNTIF(Tabla26[[#This Row],[Notas J3]:[Notas J20]],"&gt;0"))</calculatedColumnFormula>
    </tableColumn>
  </tableColumns>
  <tableStyleInfo name="TableStyleMedium15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35F99D-F9F4-47AF-A70A-C9217255B66A}" name="Tabla1" displayName="Tabla1" ref="B29:C31" headerRowCount="0" totalsRowShown="0">
  <tableColumns count="2">
    <tableColumn id="1" xr3:uid="{0EBB5905-2C30-4160-9E99-6343F3D30CFC}" name="Columna2"/>
    <tableColumn id="2" xr3:uid="{3262D76D-BE0D-4D6C-B962-F0A36387A9E9}" name="Columna1" headerRowDxfId="87" dataDxfId="86"/>
  </tableColumns>
  <tableStyleInfo name="TableStyleLight4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3FDEF9-B38E-48FE-B5B1-BBD540A8FBF1}" name="Tabla26" displayName="Tabla26" ref="B3:AJ25" totalsRowShown="0" headerRowDxfId="85" dataDxfId="84">
  <autoFilter ref="B3:AJ25" xr:uid="{F40D1844-3D8D-409E-A99E-522820C6007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</autoFilter>
  <tableColumns count="35">
    <tableColumn id="1" xr3:uid="{DEE86EE8-5DAD-49C7-880A-1544DE93C67E}" name="Jugador" dataDxfId="83"/>
    <tableColumn id="2" xr3:uid="{628BF1E6-491D-4EFE-88BA-FF20B6D5D26A}" name="Partidos jugados" dataDxfId="82"/>
    <tableColumn id="34" xr3:uid="{7BE43A8C-FF6E-49DF-9539-D250D01D5706}" name="% Asistencia" dataDxfId="81">
      <calculatedColumnFormula>+Tabla26[[#This Row],[Partidos jugados]]/$C$25</calculatedColumnFormula>
    </tableColumn>
    <tableColumn id="3" xr3:uid="{D12933AE-9C0E-4AF3-857E-FA82A2153E5A}" name="P Ganados" dataDxfId="80"/>
    <tableColumn id="4" xr3:uid="{3B4511C5-53D4-4461-9276-DF195DCA8DD0}" name="P Empatados" dataDxfId="79"/>
    <tableColumn id="5" xr3:uid="{FBC68664-6AD4-45DB-AC03-E07AC1998BC0}" name="P Perdidos" dataDxfId="78"/>
    <tableColumn id="6" xr3:uid="{DBC6C64B-8ACF-43DE-B2C5-69209543C65C}" name="Goles (encajados)" dataDxfId="77"/>
    <tableColumn id="7" xr3:uid="{FE52100B-30CE-4F64-B387-DE63AA061593}" name="Asistencias" dataDxfId="76"/>
    <tableColumn id="33" xr3:uid="{7B84236F-E23E-4734-A3C1-B6E72DE16147}" name="G+A" dataDxfId="75">
      <calculatedColumnFormula>+Tabla26[[#This Row],[Goles (encajados)]]+Tabla26[[#This Row],[Asistencias]]</calculatedColumnFormula>
    </tableColumn>
    <tableColumn id="8" xr3:uid="{6AA42937-99A7-4007-B1EA-BF983FD2027F}" name="GxP" dataDxfId="74"/>
    <tableColumn id="9" xr3:uid="{9BE0E6D7-D2C0-47A5-AE9E-C961BE77D837}" name="AxP" dataDxfId="73"/>
    <tableColumn id="10" xr3:uid="{9A5A3CCF-D6E3-495F-8AC1-5998BB1E0367}" name="G+AxP" dataDxfId="72"/>
    <tableColumn id="11" xr3:uid="{90DB4046-08A5-46FA-81C2-FD06DF1B031A}" name="MVP" dataDxfId="71"/>
    <tableColumn id="12" xr3:uid="{CE0D4C7D-EE9F-4E77-B0D3-790F1E97704B}" name="Amarillas" dataDxfId="70"/>
    <tableColumn id="13" xr3:uid="{474F68BC-3A05-40C9-BEF4-E6162CCB94FD}" name="Rojas" dataDxfId="69"/>
    <tableColumn id="14" xr3:uid="{C2961D33-FBB0-4E56-B9AE-F0DD3D24ECF1}" name="Notas J3" dataDxfId="68"/>
    <tableColumn id="16" xr3:uid="{FFA3B6F3-FEEF-45B7-9930-D5971602FC22}" name="Notas J4" dataDxfId="67"/>
    <tableColumn id="17" xr3:uid="{2E8462D7-8859-4F3C-AD8C-4034FD0083B8}" name="Notas J5" dataDxfId="66"/>
    <tableColumn id="18" xr3:uid="{200E3D8D-F32B-4B9D-825D-3277CD7CB7D1}" name="Notas J6" dataDxfId="65"/>
    <tableColumn id="19" xr3:uid="{F83A7C46-66A0-42AB-A7E0-700CEF72B7DD}" name="Notas J7" dataDxfId="64"/>
    <tableColumn id="20" xr3:uid="{93454739-D3CC-42C8-A85F-735DEF3CCB8E}" name="Notas J8" dataDxfId="63"/>
    <tableColumn id="21" xr3:uid="{E16201E2-34B7-468B-912C-F765D9D1B6E7}" name="Notas J9" dataDxfId="62"/>
    <tableColumn id="22" xr3:uid="{76F1F68C-6AF2-45E6-89D5-2AF35A650D65}" name="Notas J10" dataDxfId="61"/>
    <tableColumn id="23" xr3:uid="{C8D9E367-B5F9-4094-BD2F-B57088213F61}" name="Notas J11" dataDxfId="60"/>
    <tableColumn id="24" xr3:uid="{CC290770-BF02-45F9-9513-B816970240D7}" name="Notas J12" dataDxfId="59"/>
    <tableColumn id="25" xr3:uid="{9492E88F-EBBE-4BBA-B2B1-BE524964A753}" name="Notas J13" dataDxfId="58"/>
    <tableColumn id="26" xr3:uid="{125610B6-1A79-4959-AD6D-6855649F178E}" name="Notas J14" dataDxfId="57"/>
    <tableColumn id="27" xr3:uid="{0754411D-02AD-4E13-8E32-9538232E07D8}" name="Notas J15" dataDxfId="56"/>
    <tableColumn id="28" xr3:uid="{42111FCE-68C6-43B6-8B23-7AC0EFA9756A}" name="Notas J16" dataDxfId="55"/>
    <tableColumn id="29" xr3:uid="{516B5DBC-8AB4-4637-87CF-ACD4A839F43C}" name="Notas J17" dataDxfId="54"/>
    <tableColumn id="30" xr3:uid="{482913E6-B5B4-4532-B315-77A1EB69B056}" name="Notas J18" dataDxfId="53"/>
    <tableColumn id="31" xr3:uid="{CD3993D8-390B-4AF8-A6BC-561B5377E8FB}" name="Notas J19" dataDxfId="52"/>
    <tableColumn id="32" xr3:uid="{AB65BAF3-3DE9-4BF4-8F62-F305871B85EE}" name="Notas J20" dataDxfId="51"/>
    <tableColumn id="15" xr3:uid="{F360093B-FFF8-46F9-9962-A7D5E9ACC389}" name="Nota media" dataDxfId="50">
      <calculatedColumnFormula>+SUM(Tabla26[[#This Row],[Notas J3]:[Notas J20]])/COUNTIF(Tabla26[[#This Row],[Notas J3]:[Notas J20]],"&gt;0")</calculatedColumnFormula>
    </tableColumn>
    <tableColumn id="36" xr3:uid="{BE457465-6713-4753-8614-19981DF3B4D7}" name="Jugador2" dataDxfId="49"/>
  </tableColumns>
  <tableStyleInfo name="TableStyleMedium9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FDBB81-FEE4-41A8-BE3E-4CBC4ACBF513}" name="Tabla17" displayName="Tabla17" ref="B29:C31" headerRowCount="0" totalsRowShown="0">
  <tableColumns count="2">
    <tableColumn id="1" xr3:uid="{E95FA3E2-BAA9-4852-8B50-D29DE8085353}" name="Columna2"/>
    <tableColumn id="2" xr3:uid="{BCF531A4-D838-4FE0-B463-9994F57820B1}" name="Columna1" headerRowDxfId="48" dataDxfId="47"/>
  </tableColumns>
  <tableStyleInfo name="TableStyleLight4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ED2F87-FF12-40B0-87BD-B5BC02284883}" name="Tabla268" displayName="Tabla268" ref="B3:Z25" totalsRowShown="0" headerRowDxfId="46" dataDxfId="45">
  <autoFilter ref="B3:Z25" xr:uid="{F40D1844-3D8D-409E-A99E-522820C6007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D34F59F-674B-42F4-8787-0F6867B86618}" name="Jugador" dataDxfId="44"/>
    <tableColumn id="2" xr3:uid="{2CC06E73-43C3-4BEF-B9F0-AA73DA9D9804}" name="Partidos jugados" dataDxfId="43"/>
    <tableColumn id="34" xr3:uid="{7DC0536B-4A0B-4664-A844-79222D6CE52B}" name="% Asistencia" dataDxfId="42">
      <calculatedColumnFormula>+Tabla268[[#This Row],[Partidos jugados]]/$C$25</calculatedColumnFormula>
    </tableColumn>
    <tableColumn id="3" xr3:uid="{4E574A84-E70F-4386-B363-90AD1FCB71D8}" name="P Ganados" dataDxfId="41"/>
    <tableColumn id="4" xr3:uid="{CE560712-C309-4FF9-BF83-C2AE868B6620}" name="P Empatados" dataDxfId="40"/>
    <tableColumn id="5" xr3:uid="{5BAD7B4D-3CD7-49F3-A789-60DC67368ADC}" name="P Perdidos" dataDxfId="39"/>
    <tableColumn id="6" xr3:uid="{0353335A-87B0-4910-87C9-E887D9F725AD}" name="Goles " dataDxfId="38"/>
    <tableColumn id="22" xr3:uid="{CAC83807-0CAC-4B35-A2A8-09C3F2FF554C}" name="Goles encajados" dataDxfId="37"/>
    <tableColumn id="7" xr3:uid="{58C710B4-0569-4B1E-9F24-E352AED0F7D5}" name="Asistencias" dataDxfId="36"/>
    <tableColumn id="33" xr3:uid="{5826F64E-9DED-4FFF-815B-CF8E890A1259}" name="G+A" dataDxfId="35">
      <calculatedColumnFormula>+Tabla268[[#This Row],[Goles ]]+Tabla268[[#This Row],[Asistencias]]</calculatedColumnFormula>
    </tableColumn>
    <tableColumn id="8" xr3:uid="{76F47C03-8296-4D24-9C1A-8C666D86567D}" name="GxP" dataDxfId="34"/>
    <tableColumn id="9" xr3:uid="{A6D224C6-6BB8-4BF0-ABDF-57DA9C9B7698}" name="AxP" dataDxfId="33"/>
    <tableColumn id="10" xr3:uid="{1997E313-6630-4030-9728-B9B756DE085C}" name="G+AxP" dataDxfId="32"/>
    <tableColumn id="11" xr3:uid="{438E3709-BB53-4077-AEBC-32D436868E54}" name="MVP" dataDxfId="31"/>
    <tableColumn id="12" xr3:uid="{495ED605-90A1-4378-989B-F052A6F2A827}" name="Amarillas" dataDxfId="30"/>
    <tableColumn id="13" xr3:uid="{2C01B0BD-673E-403C-A3DF-C323510072A3}" name="Rojas" dataDxfId="29"/>
    <tableColumn id="14" xr3:uid="{BF8AF104-2337-4FF0-A9AE-CFAC202FFDBF}" name="Notas J1" dataDxfId="28"/>
    <tableColumn id="16" xr3:uid="{E61415DC-BCE5-4BB0-9ED2-49EAB929972C}" name="Notas J2" dataDxfId="27"/>
    <tableColumn id="17" xr3:uid="{4B16D6EA-350F-413D-87E1-F4416B7CC3E2}" name="Notas J3" dataDxfId="26"/>
    <tableColumn id="18" xr3:uid="{5785804E-346A-4BB7-A3A9-D253CA4B371B}" name="Notas Octavos" dataDxfId="25"/>
    <tableColumn id="19" xr3:uid="{1916E429-1A42-41BB-BB81-A7A641194706}" name="Notas Cuartos" dataDxfId="24"/>
    <tableColumn id="20" xr3:uid="{2AFD30AB-A575-4205-9E3A-BCCB86189541}" name="Notas Semis" dataDxfId="23"/>
    <tableColumn id="21" xr3:uid="{E3E746AB-D5D1-42BE-986A-DBBADDB00D17}" name="Notas 3 y 4" dataDxfId="22"/>
    <tableColumn id="15" xr3:uid="{14388C36-A192-492A-8EF0-D90476816670}" name="Nota media" dataDxfId="21">
      <calculatedColumnFormula>+SUM(#REF!)/COUNTIF(#REF!,"&gt;0")</calculatedColumnFormula>
    </tableColumn>
    <tableColumn id="36" xr3:uid="{6E24C06A-4BEA-4487-9B89-8280B75683D7}" name="Jugador2" dataDxfId="20"/>
  </tableColumns>
  <tableStyleInfo name="TableStyleMedium9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A597322-F884-43B8-B73B-2F83E3D3D695}" name="Tabla179" displayName="Tabla179" ref="B29:C31" headerRowCount="0" totalsRowShown="0">
  <tableColumns count="2">
    <tableColumn id="1" xr3:uid="{7D7EF17B-7E8A-49E9-B670-9DDDE7BFE96B}" name="Columna2"/>
    <tableColumn id="2" xr3:uid="{BE24464A-6F90-4452-B9AB-75FD41116A29}" name="Columna1" headerRowDxfId="19" dataDxfId="18"/>
  </tableColumns>
  <tableStyleInfo name="TableStyleLight4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00A505A-9EC7-4F16-8E10-5A558CB64F53}" name="Tabla223252729" displayName="Tabla223252729" ref="B3:AL19" totalsRowShown="0" headerRowDxfId="128" dataDxfId="127">
  <autoFilter ref="B3:AL19" xr:uid="{900A505A-9EC7-4F16-8E10-5A558CB64F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</autoFilter>
  <tableColumns count="37">
    <tableColumn id="1" xr3:uid="{1CCFD72C-67E2-4432-B657-502277A8596A}" name="Jugador" dataDxfId="126"/>
    <tableColumn id="2" xr3:uid="{29308B2C-5B12-4DCD-92EE-6FB86273B2CE}" name="Partidos jugados" dataDxfId="125"/>
    <tableColumn id="34" xr3:uid="{5707E96D-1448-456A-9444-FA2B9CD86332}" name="% Asistencia" dataDxfId="124">
      <calculatedColumnFormula>+Tabla223252729[[#This Row],[Partidos jugados]]/$C$19</calculatedColumnFormula>
    </tableColumn>
    <tableColumn id="3" xr3:uid="{F5939140-10B2-47B5-8CBA-00CF1068F014}" name="P Ganados" dataDxfId="123"/>
    <tableColumn id="4" xr3:uid="{A43D29EA-0B94-4568-89AA-C5C82404C7D9}" name="P Empatados" dataDxfId="122"/>
    <tableColumn id="5" xr3:uid="{77C8A6F3-8FF0-442B-96F9-B865D6658EDB}" name="P Perdidos" dataDxfId="121"/>
    <tableColumn id="6" xr3:uid="{A4C1003A-2974-48B8-965D-F5DE0241D26E}" name="Goles " dataDxfId="120"/>
    <tableColumn id="15" xr3:uid="{219754FF-14EC-4140-B3A5-7E1BA86AD78A}" name="Goles encajados" dataDxfId="119">
      <calculatedColumnFormula>+Tabla268[[#This Row],[Goles ]]+Tabla26[[#This Row],[Goles (encajados)]]</calculatedColumnFormula>
    </tableColumn>
    <tableColumn id="7" xr3:uid="{D100D3E6-E7D8-4C7D-B580-DB1923C531F5}" name="Asistencias" dataDxfId="118"/>
    <tableColumn id="33" xr3:uid="{6DB8E049-487D-4882-BB87-D473921E0CA7}" name="G+A" dataDxfId="117">
      <calculatedColumnFormula>+Tabla223252729[[#This Row],[Goles ]]+Tabla223252729[[#This Row],[Asistencias]]</calculatedColumnFormula>
    </tableColumn>
    <tableColumn id="8" xr3:uid="{83D4B19E-CC3C-4C97-9664-9141230FE22E}" name="GxP" dataDxfId="116">
      <calculatedColumnFormula>+Tabla223252729[[#This Row],[Goles ]]/Tabla223252729[[#This Row],[Partidos jugados]]</calculatedColumnFormula>
    </tableColumn>
    <tableColumn id="9" xr3:uid="{D3B44854-3C36-44EA-8CF2-EC655E13BE0E}" name="AxP" dataDxfId="115">
      <calculatedColumnFormula>+Tabla223252729[[#This Row],[Asistencias]]/Tabla223252729[[#This Row],[Partidos jugados]]</calculatedColumnFormula>
    </tableColumn>
    <tableColumn id="10" xr3:uid="{907BB270-B33B-4E67-9216-0E0C9364CCAE}" name="G+AxP" dataDxfId="114"/>
    <tableColumn id="11" xr3:uid="{70201F9E-CEE1-492B-BDFF-F3A7D4CB8A5C}" name="MVP" dataDxfId="113"/>
    <tableColumn id="12" xr3:uid="{853E8459-2F5B-43CD-A171-BFB1617C9D59}" name="Amarillas" dataDxfId="112"/>
    <tableColumn id="13" xr3:uid="{FDB3B714-2B95-429A-877E-C330002B2747}" name="Rojas" dataDxfId="111"/>
    <tableColumn id="14" xr3:uid="{209B4BE6-6F45-4F77-9C19-B371069E78B0}" name="Notas J1" dataDxfId="110">
      <calculatedColumnFormula>(SUM(Tabla268[[#This Row],[Notas J1]:[Notas 3 y 4]])+SUM(Tabla26[[#This Row],[Notas J3]:[Notas J20]]))/(COUNTIF(Tabla268[[#This Row],[Notas J1]:[Notas 3 y 4]],"&gt;0")+COUNTIF(Tabla26[[#This Row],[Notas J3]:[Notas J20]],"&gt;0"))</calculatedColumnFormula>
    </tableColumn>
    <tableColumn id="17" xr3:uid="{751375EA-4B01-4645-B269-6B3BFFFE4FC1}" name="Notas J2"/>
    <tableColumn id="19" xr3:uid="{CE0FBEDA-CD7A-4641-8736-BB02F9E0E478}" name="Notas J3"/>
    <tableColumn id="20" xr3:uid="{02A815CF-22A5-4128-94E7-1A9D067C4953}" name="Notas J4"/>
    <tableColumn id="21" xr3:uid="{5EBEB11E-4656-4A2D-87C1-982F6B45EAAA}" name="Notas J5"/>
    <tableColumn id="22" xr3:uid="{379E7231-D545-4EAB-8374-20E6A0E7523C}" name="Notas J6"/>
    <tableColumn id="23" xr3:uid="{713A263B-A6C5-4FE4-8404-6CF3A9378595}" name="Notas J7"/>
    <tableColumn id="24" xr3:uid="{EBA6E090-4F1E-4F7C-A7F3-6E191EF5CC65}" name="Notas J8"/>
    <tableColumn id="25" xr3:uid="{17ADFD4A-3030-4F0A-81AD-48C410CEDD38}" name="Notas J9"/>
    <tableColumn id="27" xr3:uid="{3C8F3ACC-970B-41B4-B01F-DDA69DCEA7AA}" name="Notas J10"/>
    <tableColumn id="28" xr3:uid="{68D7B532-6C40-498F-BAC4-4F683FEA0AD6}" name="Notas J11"/>
    <tableColumn id="26" xr3:uid="{AB723BE9-7C02-4B30-A17E-CA3B5AF92CF6}" name="Notas J12"/>
    <tableColumn id="29" xr3:uid="{389187A8-4806-4F6D-AE53-81E3C124DB42}" name="Notas J13"/>
    <tableColumn id="30" xr3:uid="{4DA38C79-332D-42B8-881D-0D983AF50A39}" name="Notas J14"/>
    <tableColumn id="31" xr3:uid="{7634905F-0416-4C1B-BD50-C5078FCA8C10}" name="Notas J15"/>
    <tableColumn id="32" xr3:uid="{D9A91F9F-83C5-47B3-B6B5-CD948EA23BF3}" name="Notas J16"/>
    <tableColumn id="35" xr3:uid="{255A5643-DFA8-41C5-AEBD-A4B122BB5C6B}" name="Notas J17"/>
    <tableColumn id="36" xr3:uid="{176D648A-7445-47A7-90C1-03F9EC4404B8}" name="Notas J18"/>
    <tableColumn id="37" xr3:uid="{2DE785C5-198F-4180-BB1A-ED8E1297564C}" name="Notas J19"/>
    <tableColumn id="18" xr3:uid="{58060CB1-8790-4B3C-BB3B-D49D1AB58511}" name="Nota media">
      <calculatedColumnFormula>+SUM(Tabla223252729[[#This Row],[Notas J1]:[Notas J17]])/COUNTIF(Tabla223252729[[#This Row],[Notas J1]:[Notas J17]],"&gt;0")</calculatedColumnFormula>
    </tableColumn>
    <tableColumn id="16" xr3:uid="{FA8FF6F9-01DF-49D2-9899-38B1188BD168}" name="Jugador2" dataDxfId="109"/>
  </tableColumns>
  <tableStyleInfo name="TableStyleMedium15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67DACAD-C283-4A1B-BC45-E5A48BC0679A}" name="Tabla124262830" displayName="Tabla124262830" ref="B24:C26" headerRowCount="0" totalsRowShown="0">
  <tableColumns count="2">
    <tableColumn id="1" xr3:uid="{89991373-AF69-485F-B88A-5822196454FB}" name="Columna2"/>
    <tableColumn id="2" xr3:uid="{CC66F59B-1B35-4A91-A54F-A7DEA31CCA10}" name="Columna1" headerRowDxfId="108" dataDxfId="107"/>
  </tableColumns>
  <tableStyleInfo name="TableStyleLight4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D6CF80-940A-405E-8191-E8C3BE8584D4}" name="Tabla2232527294" displayName="Tabla2232527294" ref="B3:Q19" totalsRowShown="0" headerRowDxfId="17" dataDxfId="16">
  <autoFilter ref="B3:Q19" xr:uid="{900A505A-9EC7-4F16-8E10-5A558CB64F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52B6AB6A-CDA3-4FE0-AF0A-D32A83610450}" name="Jugador" dataDxfId="15"/>
    <tableColumn id="2" xr3:uid="{4C5512E9-F101-4908-BD3D-D00E5A8975A3}" name="Participaciones" dataDxfId="14"/>
    <tableColumn id="6" xr3:uid="{2EBA478E-59B6-4BB8-A1E9-414EDA9E5DCE}" name="Goles " dataDxfId="13"/>
    <tableColumn id="15" xr3:uid="{64950E53-8AE0-43A8-83D7-BBAF3815A180}" name="Goles encajados" dataDxfId="12">
      <calculatedColumnFormula>+Tabla268[[#This Row],[Goles ]]+Tabla26[[#This Row],[Goles (encajados)]]</calculatedColumnFormula>
    </tableColumn>
    <tableColumn id="7" xr3:uid="{FE0C3992-326F-4B92-8452-A7BC62958A49}" name="Asistencias" dataDxfId="11"/>
    <tableColumn id="33" xr3:uid="{DF2E3C73-D6DF-45D2-92D0-565733D929B7}" name="G+A" dataDxfId="10">
      <calculatedColumnFormula>+Tabla2232527294[[#This Row],[Goles ]]+Tabla2232527294[[#This Row],[Asistencias]]</calculatedColumnFormula>
    </tableColumn>
    <tableColumn id="8" xr3:uid="{5033D6FC-019D-4300-9EEE-F21280E50DF0}" name="GxP" dataDxfId="9">
      <calculatedColumnFormula>+Tabla2232527294[[#This Row],[Goles ]]/Tabla2232527294[[#This Row],[Participaciones]]</calculatedColumnFormula>
    </tableColumn>
    <tableColumn id="9" xr3:uid="{DB2F912F-F43F-4DF3-9C77-D510AA3E4B1B}" name="AxP" dataDxfId="8">
      <calculatedColumnFormula>+Tabla2232527294[[#This Row],[Asistencias]]/Tabla2232527294[[#This Row],[Participaciones]]</calculatedColumnFormula>
    </tableColumn>
    <tableColumn id="10" xr3:uid="{D34FA485-A6BF-4397-999F-72B368EA089C}" name="G+AxP" dataDxfId="7"/>
    <tableColumn id="11" xr3:uid="{4EBCE8AD-3281-4E80-A33B-67A39F21EB16}" name="MVP" dataDxfId="6"/>
    <tableColumn id="12" xr3:uid="{31CF5338-64CB-4259-A554-8AC54AD0F386}" name="Amarillas" dataDxfId="5"/>
    <tableColumn id="13" xr3:uid="{A2D1FE4B-9CC6-4251-8B5E-325CBE3B5D11}" name="Rojas" dataDxfId="4"/>
    <tableColumn id="14" xr3:uid="{82B3FCD1-BD8A-4298-AE74-E10D2502601E}" name="Notas Llano Ñopo" dataDxfId="3">
      <calculatedColumnFormula>(SUM(Tabla268[[#This Row],[Notas J1]:[Notas 3 y 4]])+SUM(Tabla26[[#This Row],[Notas J3]:[Notas J20]]))/(COUNTIF(Tabla268[[#This Row],[Notas J1]:[Notas 3 y 4]],"&gt;0")+COUNTIF(Tabla26[[#This Row],[Notas J3]:[Notas J20]],"&gt;0"))</calculatedColumnFormula>
    </tableColumn>
    <tableColumn id="3" xr3:uid="{3F4D554C-B646-428D-A04B-324B2999E955}" name="Notas Torneo Navidad"/>
    <tableColumn id="18" xr3:uid="{0B7CCA3F-A642-401B-B45A-1D10AF3D2F87}" name="Nota media">
      <calculatedColumnFormula>+SUM(#REF!)/COUNTIF(#REF!,"&gt;0")</calculatedColumnFormula>
    </tableColumn>
    <tableColumn id="16" xr3:uid="{2D657D1B-05FD-43AB-8E8B-B6D5CF04B76E}" name="Jugador2" dataDxfId="2"/>
  </tableColumns>
  <tableStyleInfo name="TableStyleMedium15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87A21E-1AA0-4679-8672-640BA4EB1712}" name="Tabla1242628305" displayName="Tabla1242628305" ref="B23:C25" headerRowCount="0" totalsRowShown="0">
  <tableColumns count="2">
    <tableColumn id="1" xr3:uid="{7DA87D93-DB6F-4B24-BB8D-EFE15370D2D9}" name="Columna2"/>
    <tableColumn id="2" xr3:uid="{E7E1BABC-9126-4ABC-A21C-7127B23D89E4}" name="Columna1" headerRowDxfId="1" dataDxfId="0"/>
  </tableColumns>
  <tableStyleInfo name="TableStyleLight4" showFirstColumn="1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767ED-A0D4-4F7E-95F6-DD9CD47F567C}">
  <dimension ref="B2:R31"/>
  <sheetViews>
    <sheetView zoomScale="57" zoomScaleNormal="57" workbookViewId="0">
      <selection activeCell="U8" sqref="U8"/>
    </sheetView>
  </sheetViews>
  <sheetFormatPr baseColWidth="10" defaultRowHeight="14.5" x14ac:dyDescent="0.35"/>
  <cols>
    <col min="2" max="2" width="15.453125" bestFit="1" customWidth="1"/>
    <col min="3" max="4" width="16.1796875" customWidth="1"/>
    <col min="5" max="5" width="11.453125" customWidth="1"/>
    <col min="6" max="6" width="13.36328125" customWidth="1"/>
    <col min="7" max="7" width="11.36328125" customWidth="1"/>
    <col min="8" max="9" width="17.453125" customWidth="1"/>
    <col min="10" max="11" width="12.1796875" customWidth="1"/>
    <col min="18" max="18" width="16.36328125" bestFit="1" customWidth="1"/>
  </cols>
  <sheetData>
    <row r="2" spans="2:18" ht="15" thickBot="1" x14ac:dyDescent="0.4">
      <c r="P2" s="38" t="s">
        <v>26</v>
      </c>
      <c r="Q2" s="39"/>
      <c r="R2" s="18"/>
    </row>
    <row r="3" spans="2:18" ht="15" thickTop="1" x14ac:dyDescent="0.35">
      <c r="B3" s="5" t="s">
        <v>0</v>
      </c>
      <c r="C3" s="5" t="s">
        <v>5</v>
      </c>
      <c r="D3" s="5" t="s">
        <v>74</v>
      </c>
      <c r="E3" s="5" t="s">
        <v>6</v>
      </c>
      <c r="F3" s="5" t="s">
        <v>7</v>
      </c>
      <c r="G3" s="5" t="s">
        <v>8</v>
      </c>
      <c r="H3" s="5" t="s">
        <v>91</v>
      </c>
      <c r="I3" s="5" t="s">
        <v>90</v>
      </c>
      <c r="J3" s="5" t="s">
        <v>1</v>
      </c>
      <c r="K3" s="5" t="s">
        <v>73</v>
      </c>
      <c r="L3" s="5" t="s">
        <v>2</v>
      </c>
      <c r="M3" s="5" t="s">
        <v>3</v>
      </c>
      <c r="N3" s="5" t="s">
        <v>4</v>
      </c>
      <c r="O3" s="5" t="s">
        <v>29</v>
      </c>
      <c r="P3" s="5" t="s">
        <v>27</v>
      </c>
      <c r="Q3" s="5" t="s">
        <v>28</v>
      </c>
      <c r="R3" s="5" t="s">
        <v>87</v>
      </c>
    </row>
    <row r="4" spans="2:18" x14ac:dyDescent="0.35">
      <c r="B4" s="5" t="s">
        <v>9</v>
      </c>
      <c r="C4" s="22">
        <f>Tabla268[[#This Row],[Partidos jugados]]+Tabla26[[#This Row],[Partidos jugados]]</f>
        <v>13</v>
      </c>
      <c r="D4" s="23">
        <f>+Tabla2[[#This Row],[Partidos jugados]]/$C$25</f>
        <v>0.5</v>
      </c>
      <c r="E4" s="22">
        <f>+Tabla268[[#This Row],[P Ganados]]+Tabla26[[#This Row],[P Ganados]]</f>
        <v>8</v>
      </c>
      <c r="F4" s="22">
        <f>+Tabla268[[#This Row],[P Empatados]]+Tabla26[[#This Row],[P Empatados]]</f>
        <v>3</v>
      </c>
      <c r="G4" s="22">
        <f>+Tabla268[[#This Row],[P Perdidos]]+Tabla26[[#This Row],[P Perdidos]]</f>
        <v>2</v>
      </c>
      <c r="H4" s="22">
        <f>+Tabla268[[#This Row],[Goles ]]+Tabla26[[#This Row],[Goles (encajados)]]</f>
        <v>3</v>
      </c>
      <c r="I4" s="22"/>
      <c r="J4" s="22">
        <f>+Tabla268[[#This Row],[Asistencias]]+Tabla26[[#This Row],[Asistencias]]</f>
        <v>4</v>
      </c>
      <c r="K4" s="22">
        <f>+Tabla2[[#This Row],[Goles ]]+Tabla2[[#This Row],[Asistencias]]</f>
        <v>7</v>
      </c>
      <c r="L4" s="24">
        <f t="shared" ref="L4:L24" si="0">+H4/C4</f>
        <v>0.23076923076923078</v>
      </c>
      <c r="M4" s="24">
        <f t="shared" ref="M4:M6" si="1">+J4/C4</f>
        <v>0.30769230769230771</v>
      </c>
      <c r="N4" s="24">
        <f>+(J4+H4)/C4</f>
        <v>0.53846153846153844</v>
      </c>
      <c r="O4" s="22">
        <f>+Tabla268[[#This Row],[MVP]]+Tabla26[[#This Row],[MVP]]</f>
        <v>0</v>
      </c>
      <c r="P4" s="22">
        <f>+Tabla268[[#This Row],[Amarillas]]+Tabla26[[#This Row],[Amarillas]]</f>
        <v>1</v>
      </c>
      <c r="Q4" s="22">
        <f>+Tabla268[[#This Row],[Rojas]]+Tabla26[[#This Row],[Rojas]]</f>
        <v>0</v>
      </c>
      <c r="R4" s="25">
        <f>(SUM(Tabla268[[#This Row],[Notas J1]:[Notas 3 y 4]])+SUM(Tabla26[[#This Row],[Notas J3]:[Notas J20]]))/(COUNTIF(Tabla268[[#This Row],[Notas J1]:[Notas 3 y 4]],"&gt;0")+COUNTIF(Tabla26[[#This Row],[Notas J3]:[Notas J20]],"&gt;0"))</f>
        <v>7.5961538461538458</v>
      </c>
    </row>
    <row r="5" spans="2:18" x14ac:dyDescent="0.35">
      <c r="B5" s="5" t="s">
        <v>77</v>
      </c>
      <c r="C5" s="2">
        <f>Tabla268[[#This Row],[Partidos jugados]]+Tabla26[[#This Row],[Partidos jugados]]</f>
        <v>22</v>
      </c>
      <c r="D5" s="11">
        <f>+Tabla2[[#This Row],[Partidos jugados]]/$C$25</f>
        <v>0.84615384615384615</v>
      </c>
      <c r="E5" s="2">
        <f>+Tabla268[[#This Row],[P Ganados]]+Tabla26[[#This Row],[P Ganados]]</f>
        <v>15</v>
      </c>
      <c r="F5" s="2">
        <f>+Tabla268[[#This Row],[P Empatados]]+Tabla26[[#This Row],[P Empatados]]</f>
        <v>2</v>
      </c>
      <c r="G5" s="2">
        <f>+Tabla268[[#This Row],[P Perdidos]]+Tabla26[[#This Row],[P Perdidos]]</f>
        <v>5</v>
      </c>
      <c r="H5" s="2">
        <f>+Tabla268[[#This Row],[Goles ]]+Tabla26[[#This Row],[Goles (encajados)]]</f>
        <v>8</v>
      </c>
      <c r="I5" s="2"/>
      <c r="J5" s="2">
        <f>+Tabla268[[#This Row],[Asistencias]]+Tabla26[[#This Row],[Asistencias]]</f>
        <v>9</v>
      </c>
      <c r="K5" s="2">
        <f>+Tabla2[[#This Row],[Goles ]]+Tabla2[[#This Row],[Asistencias]]</f>
        <v>17</v>
      </c>
      <c r="L5" s="4">
        <f t="shared" si="0"/>
        <v>0.36363636363636365</v>
      </c>
      <c r="M5" s="4">
        <f t="shared" si="1"/>
        <v>0.40909090909090912</v>
      </c>
      <c r="N5" s="4">
        <f t="shared" ref="N5:N24" si="2">+(J5+H5)/C5</f>
        <v>0.77272727272727271</v>
      </c>
      <c r="O5" s="2">
        <f>+Tabla268[[#This Row],[MVP]]+Tabla26[[#This Row],[MVP]]</f>
        <v>1</v>
      </c>
      <c r="P5" s="2">
        <f>+Tabla268[[#This Row],[Amarillas]]+Tabla26[[#This Row],[Amarillas]]</f>
        <v>0</v>
      </c>
      <c r="Q5" s="2">
        <f>+Tabla268[[#This Row],[Rojas]]+Tabla26[[#This Row],[Rojas]]</f>
        <v>0</v>
      </c>
      <c r="R5" s="10">
        <f>(SUM(Tabla268[[#This Row],[Notas J1]:[Notas 3 y 4]])+SUM(Tabla26[[#This Row],[Notas J3]:[Notas J20]]))/(COUNTIF(Tabla268[[#This Row],[Notas J1]:[Notas 3 y 4]],"&gt;0")+COUNTIF(Tabla26[[#This Row],[Notas J3]:[Notas J20]],"&gt;0"))</f>
        <v>7.8875000000000002</v>
      </c>
    </row>
    <row r="6" spans="2:18" x14ac:dyDescent="0.35">
      <c r="B6" s="5" t="s">
        <v>11</v>
      </c>
      <c r="C6" s="22">
        <f>Tabla268[[#This Row],[Partidos jugados]]+Tabla26[[#This Row],[Partidos jugados]]</f>
        <v>26</v>
      </c>
      <c r="D6" s="22">
        <f>+Tabla2[[#This Row],[Partidos jugados]]/$C$25</f>
        <v>1</v>
      </c>
      <c r="E6" s="22">
        <f>+Tabla268[[#This Row],[P Ganados]]+Tabla26[[#This Row],[P Ganados]]</f>
        <v>17</v>
      </c>
      <c r="F6" s="22">
        <f>+Tabla268[[#This Row],[P Empatados]]+Tabla26[[#This Row],[P Empatados]]</f>
        <v>3</v>
      </c>
      <c r="G6" s="22">
        <f>+Tabla268[[#This Row],[P Perdidos]]+Tabla26[[#This Row],[P Perdidos]]</f>
        <v>6</v>
      </c>
      <c r="H6" s="22">
        <f>+Tabla268[[#This Row],[Goles ]]+Tabla26[[#This Row],[Goles (encajados)]]</f>
        <v>21</v>
      </c>
      <c r="I6" s="22"/>
      <c r="J6" s="22">
        <f>+Tabla268[[#This Row],[Asistencias]]+Tabla26[[#This Row],[Asistencias]]</f>
        <v>9</v>
      </c>
      <c r="K6" s="22">
        <f>+Tabla2[[#This Row],[Goles ]]+Tabla2[[#This Row],[Asistencias]]</f>
        <v>30</v>
      </c>
      <c r="L6" s="24">
        <f t="shared" si="0"/>
        <v>0.80769230769230771</v>
      </c>
      <c r="M6" s="24">
        <f t="shared" si="1"/>
        <v>0.34615384615384615</v>
      </c>
      <c r="N6" s="24">
        <f t="shared" si="2"/>
        <v>1.1538461538461537</v>
      </c>
      <c r="O6" s="22">
        <f>+Tabla268[[#This Row],[MVP]]+Tabla26[[#This Row],[MVP]]</f>
        <v>3</v>
      </c>
      <c r="P6" s="22">
        <f>+Tabla268[[#This Row],[Amarillas]]+Tabla26[[#This Row],[Amarillas]]</f>
        <v>8</v>
      </c>
      <c r="Q6" s="22">
        <f>+Tabla268[[#This Row],[Rojas]]+Tabla26[[#This Row],[Rojas]]</f>
        <v>2</v>
      </c>
      <c r="R6" s="22">
        <f>(SUM(Tabla268[[#This Row],[Notas J1]:[Notas 3 y 4]])+SUM(Tabla26[[#This Row],[Notas J3]:[Notas J20]]))/(COUNTIF(Tabla268[[#This Row],[Notas J1]:[Notas 3 y 4]],"&gt;0")+COUNTIF(Tabla26[[#This Row],[Notas J3]:[Notas J20]],"&gt;0"))</f>
        <v>7.270833333333333</v>
      </c>
    </row>
    <row r="7" spans="2:18" x14ac:dyDescent="0.35">
      <c r="B7" s="5" t="s">
        <v>12</v>
      </c>
      <c r="C7" s="2">
        <f>Tabla268[[#This Row],[Partidos jugados]]+Tabla26[[#This Row],[Partidos jugados]]</f>
        <v>20</v>
      </c>
      <c r="D7" s="11">
        <f>+Tabla2[[#This Row],[Partidos jugados]]/$C$25</f>
        <v>0.76923076923076927</v>
      </c>
      <c r="E7" s="2">
        <f>+Tabla268[[#This Row],[P Ganados]]+Tabla26[[#This Row],[P Ganados]]</f>
        <v>12</v>
      </c>
      <c r="F7" s="2">
        <f>+Tabla268[[#This Row],[P Empatados]]+Tabla26[[#This Row],[P Empatados]]</f>
        <v>3</v>
      </c>
      <c r="G7" s="2">
        <f>+Tabla268[[#This Row],[P Perdidos]]+Tabla26[[#This Row],[P Perdidos]]</f>
        <v>5</v>
      </c>
      <c r="H7" s="2">
        <f>+Tabla268[[#This Row],[Goles ]]+Tabla26[[#This Row],[Goles (encajados)]]</f>
        <v>8</v>
      </c>
      <c r="I7" s="2"/>
      <c r="J7" s="2">
        <f>+Tabla268[[#This Row],[Asistencias]]+Tabla26[[#This Row],[Asistencias]]</f>
        <v>6</v>
      </c>
      <c r="K7" s="2">
        <f>+Tabla2[[#This Row],[Goles ]]+Tabla2[[#This Row],[Asistencias]]</f>
        <v>14</v>
      </c>
      <c r="L7" s="4">
        <f t="shared" si="0"/>
        <v>0.4</v>
      </c>
      <c r="M7" s="4">
        <f>+J7/C7</f>
        <v>0.3</v>
      </c>
      <c r="N7" s="4">
        <f t="shared" si="2"/>
        <v>0.7</v>
      </c>
      <c r="O7" s="2">
        <f>+Tabla268[[#This Row],[MVP]]+Tabla26[[#This Row],[MVP]]</f>
        <v>3</v>
      </c>
      <c r="P7" s="2">
        <f>+Tabla268[[#This Row],[Amarillas]]+Tabla26[[#This Row],[Amarillas]]</f>
        <v>2</v>
      </c>
      <c r="Q7" s="2">
        <f>+Tabla268[[#This Row],[Rojas]]+Tabla26[[#This Row],[Rojas]]</f>
        <v>0</v>
      </c>
      <c r="R7" s="10">
        <f>(SUM(Tabla268[[#This Row],[Notas J1]:[Notas 3 y 4]])+SUM(Tabla26[[#This Row],[Notas J3]:[Notas J20]]))/(COUNTIF(Tabla268[[#This Row],[Notas J1]:[Notas 3 y 4]],"&gt;0")+COUNTIF(Tabla26[[#This Row],[Notas J3]:[Notas J20]],"&gt;0"))</f>
        <v>8.0555555555555554</v>
      </c>
    </row>
    <row r="8" spans="2:18" x14ac:dyDescent="0.35">
      <c r="B8" s="5" t="s">
        <v>13</v>
      </c>
      <c r="C8" s="22">
        <f>Tabla268[[#This Row],[Partidos jugados]]+Tabla26[[#This Row],[Partidos jugados]]</f>
        <v>9</v>
      </c>
      <c r="D8" s="22">
        <f>+Tabla2[[#This Row],[Partidos jugados]]/$C$25</f>
        <v>0.34615384615384615</v>
      </c>
      <c r="E8" s="22">
        <f>+Tabla268[[#This Row],[P Ganados]]+Tabla26[[#This Row],[P Ganados]]</f>
        <v>6</v>
      </c>
      <c r="F8" s="22">
        <f>+Tabla268[[#This Row],[P Empatados]]+Tabla26[[#This Row],[P Empatados]]</f>
        <v>0</v>
      </c>
      <c r="G8" s="22">
        <f>+Tabla268[[#This Row],[P Perdidos]]+Tabla26[[#This Row],[P Perdidos]]</f>
        <v>3</v>
      </c>
      <c r="H8" s="22">
        <f>+Tabla268[[#This Row],[Goles ]]+Tabla26[[#This Row],[Goles (encajados)]]</f>
        <v>1</v>
      </c>
      <c r="I8" s="22"/>
      <c r="J8" s="22">
        <f>+Tabla268[[#This Row],[Asistencias]]+Tabla26[[#This Row],[Asistencias]]</f>
        <v>0</v>
      </c>
      <c r="K8" s="22">
        <f>+Tabla2[[#This Row],[Goles ]]+Tabla2[[#This Row],[Asistencias]]</f>
        <v>1</v>
      </c>
      <c r="L8" s="24">
        <f t="shared" si="0"/>
        <v>0.1111111111111111</v>
      </c>
      <c r="M8" s="24">
        <f t="shared" ref="M8:M24" si="3">+J8/C8</f>
        <v>0</v>
      </c>
      <c r="N8" s="24">
        <f t="shared" si="2"/>
        <v>0.1111111111111111</v>
      </c>
      <c r="O8" s="22">
        <f>+Tabla268[[#This Row],[MVP]]+Tabla26[[#This Row],[MVP]]</f>
        <v>0</v>
      </c>
      <c r="P8" s="22">
        <f>+Tabla268[[#This Row],[Amarillas]]+Tabla26[[#This Row],[Amarillas]]</f>
        <v>1</v>
      </c>
      <c r="Q8" s="22">
        <f>+Tabla268[[#This Row],[Rojas]]+Tabla26[[#This Row],[Rojas]]</f>
        <v>0</v>
      </c>
      <c r="R8" s="22">
        <f>(SUM(Tabla268[[#This Row],[Notas J1]:[Notas 3 y 4]])+SUM(Tabla26[[#This Row],[Notas J3]:[Notas J20]]))/(COUNTIF(Tabla268[[#This Row],[Notas J1]:[Notas 3 y 4]],"&gt;0")+COUNTIF(Tabla26[[#This Row],[Notas J3]:[Notas J20]],"&gt;0"))</f>
        <v>7.1388888888888893</v>
      </c>
    </row>
    <row r="9" spans="2:18" x14ac:dyDescent="0.35">
      <c r="B9" s="5" t="s">
        <v>14</v>
      </c>
      <c r="C9" s="2">
        <f>Tabla268[[#This Row],[Partidos jugados]]+Tabla26[[#This Row],[Partidos jugados]]</f>
        <v>22</v>
      </c>
      <c r="D9" s="11">
        <f>+Tabla2[[#This Row],[Partidos jugados]]/$C$25</f>
        <v>0.84615384615384615</v>
      </c>
      <c r="E9" s="2">
        <f>+Tabla268[[#This Row],[P Ganados]]+Tabla26[[#This Row],[P Ganados]]</f>
        <v>15</v>
      </c>
      <c r="F9" s="2">
        <f>+Tabla268[[#This Row],[P Empatados]]+Tabla26[[#This Row],[P Empatados]]</f>
        <v>3</v>
      </c>
      <c r="G9" s="2">
        <f>+Tabla268[[#This Row],[P Perdidos]]+Tabla26[[#This Row],[P Perdidos]]</f>
        <v>4</v>
      </c>
      <c r="H9" s="2">
        <f>+Tabla268[[#This Row],[Goles ]]+Tabla26[[#This Row],[Goles (encajados)]]</f>
        <v>27</v>
      </c>
      <c r="I9" s="2"/>
      <c r="J9" s="2">
        <f>+Tabla268[[#This Row],[Asistencias]]+Tabla26[[#This Row],[Asistencias]]</f>
        <v>18</v>
      </c>
      <c r="K9" s="2">
        <f>+Tabla2[[#This Row],[Goles ]]+Tabla2[[#This Row],[Asistencias]]</f>
        <v>45</v>
      </c>
      <c r="L9" s="4">
        <f t="shared" si="0"/>
        <v>1.2272727272727273</v>
      </c>
      <c r="M9" s="4">
        <f t="shared" si="3"/>
        <v>0.81818181818181823</v>
      </c>
      <c r="N9" s="4">
        <f t="shared" si="2"/>
        <v>2.0454545454545454</v>
      </c>
      <c r="O9" s="2">
        <f>+Tabla268[[#This Row],[MVP]]+Tabla26[[#This Row],[MVP]]</f>
        <v>3</v>
      </c>
      <c r="P9" s="2">
        <f>+Tabla268[[#This Row],[Amarillas]]+Tabla26[[#This Row],[Amarillas]]</f>
        <v>4</v>
      </c>
      <c r="Q9" s="2">
        <f>+Tabla268[[#This Row],[Rojas]]+Tabla26[[#This Row],[Rojas]]</f>
        <v>0</v>
      </c>
      <c r="R9" s="10">
        <f>(SUM(Tabla268[[#This Row],[Notas J1]:[Notas 3 y 4]])+SUM(Tabla26[[#This Row],[Notas J3]:[Notas J20]]))/(COUNTIF(Tabla268[[#This Row],[Notas J1]:[Notas 3 y 4]],"&gt;0")+COUNTIF(Tabla26[[#This Row],[Notas J3]:[Notas J20]],"&gt;0"))</f>
        <v>8.3249999999999993</v>
      </c>
    </row>
    <row r="10" spans="2:18" x14ac:dyDescent="0.35">
      <c r="B10" s="5" t="s">
        <v>15</v>
      </c>
      <c r="C10" s="22">
        <f>Tabla268[[#This Row],[Partidos jugados]]+Tabla26[[#This Row],[Partidos jugados]]</f>
        <v>26</v>
      </c>
      <c r="D10" s="22">
        <f>+Tabla2[[#This Row],[Partidos jugados]]/$C$25</f>
        <v>1</v>
      </c>
      <c r="E10" s="22">
        <f>+Tabla268[[#This Row],[P Ganados]]+Tabla26[[#This Row],[P Ganados]]</f>
        <v>17</v>
      </c>
      <c r="F10" s="22">
        <f>+Tabla268[[#This Row],[P Empatados]]+Tabla26[[#This Row],[P Empatados]]</f>
        <v>3</v>
      </c>
      <c r="G10" s="22">
        <f>+Tabla268[[#This Row],[P Perdidos]]+Tabla26[[#This Row],[P Perdidos]]</f>
        <v>6</v>
      </c>
      <c r="H10" s="22">
        <f>+Tabla268[[#This Row],[Goles ]]+Tabla26[[#This Row],[Goles (encajados)]]</f>
        <v>8</v>
      </c>
      <c r="I10" s="22"/>
      <c r="J10" s="22">
        <f>+Tabla268[[#This Row],[Asistencias]]+Tabla26[[#This Row],[Asistencias]]</f>
        <v>12</v>
      </c>
      <c r="K10" s="22">
        <f>+Tabla2[[#This Row],[Goles ]]+Tabla2[[#This Row],[Asistencias]]</f>
        <v>20</v>
      </c>
      <c r="L10" s="24">
        <f t="shared" si="0"/>
        <v>0.30769230769230771</v>
      </c>
      <c r="M10" s="24">
        <f t="shared" si="3"/>
        <v>0.46153846153846156</v>
      </c>
      <c r="N10" s="24">
        <f t="shared" si="2"/>
        <v>0.76923076923076927</v>
      </c>
      <c r="O10" s="22">
        <f>+Tabla268[[#This Row],[MVP]]+Tabla26[[#This Row],[MVP]]</f>
        <v>1</v>
      </c>
      <c r="P10" s="22">
        <f>+Tabla268[[#This Row],[Amarillas]]+Tabla26[[#This Row],[Amarillas]]</f>
        <v>3</v>
      </c>
      <c r="Q10" s="22">
        <f>+Tabla268[[#This Row],[Rojas]]+Tabla26[[#This Row],[Rojas]]</f>
        <v>0</v>
      </c>
      <c r="R10" s="22">
        <f>(SUM(Tabla268[[#This Row],[Notas J1]:[Notas 3 y 4]])+SUM(Tabla26[[#This Row],[Notas J3]:[Notas J20]]))/(COUNTIF(Tabla268[[#This Row],[Notas J1]:[Notas 3 y 4]],"&gt;0")+COUNTIF(Tabla26[[#This Row],[Notas J3]:[Notas J20]],"&gt;0"))</f>
        <v>8.125</v>
      </c>
    </row>
    <row r="11" spans="2:18" x14ac:dyDescent="0.35">
      <c r="B11" s="5" t="s">
        <v>31</v>
      </c>
      <c r="C11" s="2">
        <f>Tabla268[[#This Row],[Partidos jugados]]+Tabla26[[#This Row],[Partidos jugados]]</f>
        <v>20</v>
      </c>
      <c r="D11" s="11">
        <f>+Tabla2[[#This Row],[Partidos jugados]]/$C$25</f>
        <v>0.76923076923076927</v>
      </c>
      <c r="E11" s="2">
        <f>+Tabla268[[#This Row],[P Ganados]]+Tabla26[[#This Row],[P Ganados]]</f>
        <v>12</v>
      </c>
      <c r="F11" s="2">
        <f>+Tabla268[[#This Row],[P Empatados]]+Tabla26[[#This Row],[P Empatados]]</f>
        <v>3</v>
      </c>
      <c r="G11" s="2">
        <f>+Tabla268[[#This Row],[P Perdidos]]+Tabla26[[#This Row],[P Perdidos]]</f>
        <v>5</v>
      </c>
      <c r="H11" s="2">
        <f>+Tabla268[[#This Row],[Goles ]]+Tabla26[[#This Row],[Goles (encajados)]]</f>
        <v>4</v>
      </c>
      <c r="I11" s="2"/>
      <c r="J11" s="2">
        <f>+Tabla268[[#This Row],[Asistencias]]+Tabla26[[#This Row],[Asistencias]]</f>
        <v>1</v>
      </c>
      <c r="K11" s="2">
        <f>+Tabla2[[#This Row],[Goles ]]+Tabla2[[#This Row],[Asistencias]]</f>
        <v>5</v>
      </c>
      <c r="L11" s="4">
        <f t="shared" si="0"/>
        <v>0.2</v>
      </c>
      <c r="M11" s="4">
        <f t="shared" si="3"/>
        <v>0.05</v>
      </c>
      <c r="N11" s="4">
        <f t="shared" si="2"/>
        <v>0.25</v>
      </c>
      <c r="O11" s="2">
        <f>+Tabla268[[#This Row],[MVP]]+Tabla26[[#This Row],[MVP]]</f>
        <v>0</v>
      </c>
      <c r="P11" s="2">
        <f>+Tabla268[[#This Row],[Amarillas]]+Tabla26[[#This Row],[Amarillas]]</f>
        <v>0</v>
      </c>
      <c r="Q11" s="2">
        <f>+Tabla268[[#This Row],[Rojas]]+Tabla26[[#This Row],[Rojas]]</f>
        <v>0</v>
      </c>
      <c r="R11" s="10">
        <f>(SUM(Tabla268[[#This Row],[Notas J1]:[Notas 3 y 4]])+SUM(Tabla26[[#This Row],[Notas J3]:[Notas J20]]))/(COUNTIF(Tabla268[[#This Row],[Notas J1]:[Notas 3 y 4]],"&gt;0")+COUNTIF(Tabla26[[#This Row],[Notas J3]:[Notas J20]],"&gt;0"))</f>
        <v>6.6029411764705879</v>
      </c>
    </row>
    <row r="12" spans="2:18" x14ac:dyDescent="0.35">
      <c r="B12" s="5" t="s">
        <v>16</v>
      </c>
      <c r="C12" s="22">
        <f>Tabla268[[#This Row],[Partidos jugados]]+Tabla26[[#This Row],[Partidos jugados]]</f>
        <v>5</v>
      </c>
      <c r="D12" s="22">
        <f>+Tabla2[[#This Row],[Partidos jugados]]/$C$25</f>
        <v>0.19230769230769232</v>
      </c>
      <c r="E12" s="22">
        <f>+Tabla268[[#This Row],[P Ganados]]+Tabla26[[#This Row],[P Ganados]]</f>
        <v>3</v>
      </c>
      <c r="F12" s="22">
        <f>+Tabla268[[#This Row],[P Empatados]]+Tabla26[[#This Row],[P Empatados]]</f>
        <v>0</v>
      </c>
      <c r="G12" s="22">
        <f>+Tabla268[[#This Row],[P Perdidos]]+Tabla26[[#This Row],[P Perdidos]]</f>
        <v>2</v>
      </c>
      <c r="H12" s="22"/>
      <c r="I12" s="22">
        <f>+Tabla268[[#This Row],[Goles ]]+Tabla26[[#This Row],[Goles (encajados)]]</f>
        <v>-11</v>
      </c>
      <c r="J12" s="22">
        <f>+Tabla268[[#This Row],[Asistencias]]+Tabla26[[#This Row],[Asistencias]]</f>
        <v>0</v>
      </c>
      <c r="K12" s="22">
        <f>+Tabla2[[#This Row],[Goles ]]+Tabla2[[#This Row],[Asistencias]]</f>
        <v>0</v>
      </c>
      <c r="L12" s="24">
        <f>+I12/C12</f>
        <v>-2.2000000000000002</v>
      </c>
      <c r="M12" s="24">
        <f t="shared" si="3"/>
        <v>0</v>
      </c>
      <c r="N12" s="24">
        <f>+(J12+I12)/C12</f>
        <v>-2.2000000000000002</v>
      </c>
      <c r="O12" s="22">
        <f>+Tabla268[[#This Row],[MVP]]+Tabla26[[#This Row],[MVP]]</f>
        <v>0</v>
      </c>
      <c r="P12" s="22">
        <f>+Tabla268[[#This Row],[Amarillas]]+Tabla26[[#This Row],[Amarillas]]</f>
        <v>0</v>
      </c>
      <c r="Q12" s="22">
        <f>+Tabla268[[#This Row],[Rojas]]+Tabla26[[#This Row],[Rojas]]</f>
        <v>0</v>
      </c>
      <c r="R12" s="22">
        <f>(SUM(Tabla268[[#This Row],[Notas J1]:[Notas 3 y 4]])+SUM(Tabla26[[#This Row],[Notas J3]:[Notas J20]]))/(COUNTIF(Tabla268[[#This Row],[Notas J1]:[Notas 3 y 4]],"&gt;0")+COUNTIF(Tabla26[[#This Row],[Notas J3]:[Notas J20]],"&gt;0"))</f>
        <v>7.166666666666667</v>
      </c>
    </row>
    <row r="13" spans="2:18" x14ac:dyDescent="0.35">
      <c r="B13" s="5" t="s">
        <v>17</v>
      </c>
      <c r="C13" s="2">
        <f>Tabla268[[#This Row],[Partidos jugados]]+Tabla26[[#This Row],[Partidos jugados]]</f>
        <v>16</v>
      </c>
      <c r="D13" s="11">
        <f>+Tabla2[[#This Row],[Partidos jugados]]/$C$25</f>
        <v>0.61538461538461542</v>
      </c>
      <c r="E13" s="2">
        <f>+Tabla268[[#This Row],[P Ganados]]+Tabla26[[#This Row],[P Ganados]]</f>
        <v>10</v>
      </c>
      <c r="F13" s="2">
        <f>+Tabla268[[#This Row],[P Empatados]]+Tabla26[[#This Row],[P Empatados]]</f>
        <v>2</v>
      </c>
      <c r="G13" s="2">
        <f>+Tabla268[[#This Row],[P Perdidos]]+Tabla26[[#This Row],[P Perdidos]]</f>
        <v>4</v>
      </c>
      <c r="H13" s="2">
        <f>+Tabla268[[#This Row],[Goles ]]+Tabla26[[#This Row],[Goles (encajados)]]</f>
        <v>8</v>
      </c>
      <c r="I13" s="2"/>
      <c r="J13" s="2">
        <f>+Tabla268[[#This Row],[Asistencias]]+Tabla26[[#This Row],[Asistencias]]</f>
        <v>4</v>
      </c>
      <c r="K13" s="2">
        <f>+Tabla2[[#This Row],[Goles ]]+Tabla2[[#This Row],[Asistencias]]</f>
        <v>12</v>
      </c>
      <c r="L13" s="4">
        <f t="shared" si="0"/>
        <v>0.5</v>
      </c>
      <c r="M13" s="4">
        <f t="shared" si="3"/>
        <v>0.25</v>
      </c>
      <c r="N13" s="4">
        <f t="shared" si="2"/>
        <v>0.75</v>
      </c>
      <c r="O13" s="2">
        <f>+Tabla268[[#This Row],[MVP]]+Tabla26[[#This Row],[MVP]]</f>
        <v>2</v>
      </c>
      <c r="P13" s="2">
        <f>+Tabla268[[#This Row],[Amarillas]]+Tabla26[[#This Row],[Amarillas]]</f>
        <v>1</v>
      </c>
      <c r="Q13" s="2">
        <f>+Tabla268[[#This Row],[Rojas]]+Tabla26[[#This Row],[Rojas]]</f>
        <v>0</v>
      </c>
      <c r="R13" s="10">
        <f>(SUM(Tabla268[[#This Row],[Notas J1]:[Notas 3 y 4]])+SUM(Tabla26[[#This Row],[Notas J3]:[Notas J20]]))/(COUNTIF(Tabla268[[#This Row],[Notas J1]:[Notas 3 y 4]],"&gt;0")+COUNTIF(Tabla26[[#This Row],[Notas J3]:[Notas J20]],"&gt;0"))</f>
        <v>7.375</v>
      </c>
    </row>
    <row r="14" spans="2:18" x14ac:dyDescent="0.35">
      <c r="B14" s="5" t="s">
        <v>18</v>
      </c>
      <c r="C14" s="24">
        <f>Tabla268[[#This Row],[Partidos jugados]]+Tabla26[[#This Row],[Partidos jugados]]</f>
        <v>25</v>
      </c>
      <c r="D14" s="24">
        <f>+Tabla2[[#This Row],[Partidos jugados]]/$C$25</f>
        <v>0.96153846153846156</v>
      </c>
      <c r="E14" s="24">
        <f>+Tabla268[[#This Row],[P Ganados]]+Tabla26[[#This Row],[P Ganados]]</f>
        <v>16</v>
      </c>
      <c r="F14" s="24">
        <f>+Tabla268[[#This Row],[P Empatados]]+Tabla26[[#This Row],[P Empatados]]</f>
        <v>3</v>
      </c>
      <c r="G14" s="24">
        <f>+Tabla268[[#This Row],[P Perdidos]]+Tabla26[[#This Row],[P Perdidos]]</f>
        <v>6</v>
      </c>
      <c r="H14" s="24">
        <f>+Tabla268[[#This Row],[Goles ]]+Tabla26[[#This Row],[Goles (encajados)]]</f>
        <v>3</v>
      </c>
      <c r="I14" s="24"/>
      <c r="J14" s="24">
        <f>+Tabla268[[#This Row],[Asistencias]]+Tabla26[[#This Row],[Asistencias]]</f>
        <v>7</v>
      </c>
      <c r="K14" s="24">
        <f>+Tabla2[[#This Row],[Goles ]]+Tabla2[[#This Row],[Asistencias]]</f>
        <v>10</v>
      </c>
      <c r="L14" s="24">
        <f t="shared" si="0"/>
        <v>0.12</v>
      </c>
      <c r="M14" s="24">
        <f t="shared" si="3"/>
        <v>0.28000000000000003</v>
      </c>
      <c r="N14" s="24">
        <f t="shared" si="2"/>
        <v>0.4</v>
      </c>
      <c r="O14" s="24">
        <f>+Tabla268[[#This Row],[MVP]]+Tabla26[[#This Row],[MVP]]</f>
        <v>3</v>
      </c>
      <c r="P14" s="24">
        <f>+Tabla268[[#This Row],[Amarillas]]+Tabla26[[#This Row],[Amarillas]]</f>
        <v>4</v>
      </c>
      <c r="Q14" s="24">
        <f>+Tabla268[[#This Row],[Rojas]]+Tabla26[[#This Row],[Rojas]]</f>
        <v>0</v>
      </c>
      <c r="R14" s="24">
        <f>(SUM(Tabla268[[#This Row],[Notas J1]:[Notas 3 y 4]])+SUM(Tabla26[[#This Row],[Notas J3]:[Notas J20]]))/(COUNTIF(Tabla268[[#This Row],[Notas J1]:[Notas 3 y 4]],"&gt;0")+COUNTIF(Tabla26[[#This Row],[Notas J3]:[Notas J20]],"&gt;0"))</f>
        <v>7.9130434782608692</v>
      </c>
    </row>
    <row r="15" spans="2:18" x14ac:dyDescent="0.35">
      <c r="B15" s="5" t="s">
        <v>19</v>
      </c>
      <c r="C15" s="2">
        <f>Tabla268[[#This Row],[Partidos jugados]]+Tabla26[[#This Row],[Partidos jugados]]</f>
        <v>14</v>
      </c>
      <c r="D15" s="11">
        <f>+Tabla2[[#This Row],[Partidos jugados]]/$C$25</f>
        <v>0.53846153846153844</v>
      </c>
      <c r="E15" s="2">
        <f>+Tabla268[[#This Row],[P Ganados]]+Tabla26[[#This Row],[P Ganados]]</f>
        <v>9</v>
      </c>
      <c r="F15" s="2">
        <f>+Tabla268[[#This Row],[P Empatados]]+Tabla26[[#This Row],[P Empatados]]</f>
        <v>2</v>
      </c>
      <c r="G15" s="2">
        <f>+Tabla268[[#This Row],[P Perdidos]]+Tabla26[[#This Row],[P Perdidos]]</f>
        <v>3</v>
      </c>
      <c r="H15" s="2">
        <f>+Tabla268[[#This Row],[Goles ]]+Tabla26[[#This Row],[Goles (encajados)]]</f>
        <v>2</v>
      </c>
      <c r="I15" s="2"/>
      <c r="J15" s="2">
        <f>+Tabla268[[#This Row],[Asistencias]]+Tabla26[[#This Row],[Asistencias]]</f>
        <v>3</v>
      </c>
      <c r="K15" s="2">
        <f>+Tabla2[[#This Row],[Goles ]]+Tabla2[[#This Row],[Asistencias]]</f>
        <v>5</v>
      </c>
      <c r="L15" s="4">
        <f t="shared" si="0"/>
        <v>0.14285714285714285</v>
      </c>
      <c r="M15" s="4">
        <f t="shared" si="3"/>
        <v>0.21428571428571427</v>
      </c>
      <c r="N15" s="4">
        <f t="shared" si="2"/>
        <v>0.35714285714285715</v>
      </c>
      <c r="O15" s="2">
        <f>+Tabla268[[#This Row],[MVP]]+Tabla26[[#This Row],[MVP]]</f>
        <v>0</v>
      </c>
      <c r="P15" s="2">
        <f>+Tabla268[[#This Row],[Amarillas]]+Tabla26[[#This Row],[Amarillas]]</f>
        <v>0</v>
      </c>
      <c r="Q15" s="2">
        <f>+Tabla268[[#This Row],[Rojas]]+Tabla26[[#This Row],[Rojas]]</f>
        <v>0</v>
      </c>
      <c r="R15" s="10">
        <f>(SUM(Tabla268[[#This Row],[Notas J1]:[Notas 3 y 4]])+SUM(Tabla26[[#This Row],[Notas J3]:[Notas J20]]))/(COUNTIF(Tabla268[[#This Row],[Notas J1]:[Notas 3 y 4]],"&gt;0")+COUNTIF(Tabla26[[#This Row],[Notas J3]:[Notas J20]],"&gt;0"))</f>
        <v>7.625</v>
      </c>
    </row>
    <row r="16" spans="2:18" x14ac:dyDescent="0.35">
      <c r="B16" s="5" t="s">
        <v>20</v>
      </c>
      <c r="C16" s="22">
        <f>Tabla268[[#This Row],[Partidos jugados]]+Tabla26[[#This Row],[Partidos jugados]]</f>
        <v>14</v>
      </c>
      <c r="D16" s="22">
        <f>+Tabla2[[#This Row],[Partidos jugados]]/$C$25</f>
        <v>0.53846153846153844</v>
      </c>
      <c r="E16" s="22">
        <f>+Tabla268[[#This Row],[P Ganados]]+Tabla26[[#This Row],[P Ganados]]</f>
        <v>9</v>
      </c>
      <c r="F16" s="22">
        <f>+Tabla268[[#This Row],[P Empatados]]+Tabla26[[#This Row],[P Empatados]]</f>
        <v>2</v>
      </c>
      <c r="G16" s="22">
        <f>+Tabla268[[#This Row],[P Perdidos]]+Tabla26[[#This Row],[P Perdidos]]</f>
        <v>3</v>
      </c>
      <c r="H16" s="22">
        <f>+Tabla268[[#This Row],[Goles ]]+Tabla26[[#This Row],[Goles (encajados)]]</f>
        <v>1</v>
      </c>
      <c r="I16" s="22"/>
      <c r="J16" s="22">
        <f>+Tabla268[[#This Row],[Asistencias]]+Tabla26[[#This Row],[Asistencias]]</f>
        <v>5</v>
      </c>
      <c r="K16" s="22">
        <f>+Tabla2[[#This Row],[Goles ]]+Tabla2[[#This Row],[Asistencias]]</f>
        <v>6</v>
      </c>
      <c r="L16" s="24">
        <f t="shared" si="0"/>
        <v>7.1428571428571425E-2</v>
      </c>
      <c r="M16" s="24">
        <f t="shared" si="3"/>
        <v>0.35714285714285715</v>
      </c>
      <c r="N16" s="24">
        <f t="shared" si="2"/>
        <v>0.42857142857142855</v>
      </c>
      <c r="O16" s="22">
        <f>+Tabla268[[#This Row],[MVP]]+Tabla26[[#This Row],[MVP]]</f>
        <v>0</v>
      </c>
      <c r="P16" s="22">
        <f>+Tabla268[[#This Row],[Amarillas]]+Tabla26[[#This Row],[Amarillas]]</f>
        <v>3</v>
      </c>
      <c r="Q16" s="22">
        <f>+Tabla268[[#This Row],[Rojas]]+Tabla26[[#This Row],[Rojas]]</f>
        <v>0</v>
      </c>
      <c r="R16" s="22">
        <f>(SUM(Tabla268[[#This Row],[Notas J1]:[Notas 3 y 4]])+SUM(Tabla26[[#This Row],[Notas J3]:[Notas J20]]))/(COUNTIF(Tabla268[[#This Row],[Notas J1]:[Notas 3 y 4]],"&gt;0")+COUNTIF(Tabla26[[#This Row],[Notas J3]:[Notas J20]],"&gt;0"))</f>
        <v>7.5892857142857144</v>
      </c>
    </row>
    <row r="17" spans="2:18" x14ac:dyDescent="0.35">
      <c r="B17" s="5" t="s">
        <v>21</v>
      </c>
      <c r="C17" s="2">
        <f>Tabla268[[#This Row],[Partidos jugados]]+Tabla26[[#This Row],[Partidos jugados]]</f>
        <v>9</v>
      </c>
      <c r="D17" s="11">
        <f>+Tabla2[[#This Row],[Partidos jugados]]/$C$25</f>
        <v>0.34615384615384615</v>
      </c>
      <c r="E17" s="2">
        <f>+Tabla268[[#This Row],[P Ganados]]+Tabla26[[#This Row],[P Ganados]]</f>
        <v>7</v>
      </c>
      <c r="F17" s="2">
        <f>+Tabla268[[#This Row],[P Empatados]]+Tabla26[[#This Row],[P Empatados]]</f>
        <v>0</v>
      </c>
      <c r="G17" s="2">
        <f>+Tabla268[[#This Row],[P Perdidos]]+Tabla26[[#This Row],[P Perdidos]]</f>
        <v>2</v>
      </c>
      <c r="H17" s="2">
        <f>+Tabla268[[#This Row],[Goles ]]+Tabla26[[#This Row],[Goles (encajados)]]</f>
        <v>2</v>
      </c>
      <c r="I17" s="2"/>
      <c r="J17" s="2">
        <f>+Tabla268[[#This Row],[Asistencias]]+Tabla26[[#This Row],[Asistencias]]</f>
        <v>0</v>
      </c>
      <c r="K17" s="2">
        <f>+Tabla2[[#This Row],[Goles ]]+Tabla2[[#This Row],[Asistencias]]</f>
        <v>2</v>
      </c>
      <c r="L17" s="4">
        <f t="shared" si="0"/>
        <v>0.22222222222222221</v>
      </c>
      <c r="M17" s="4">
        <f t="shared" si="3"/>
        <v>0</v>
      </c>
      <c r="N17" s="4">
        <f t="shared" si="2"/>
        <v>0.22222222222222221</v>
      </c>
      <c r="O17" s="2">
        <f>+Tabla268[[#This Row],[MVP]]+Tabla26[[#This Row],[MVP]]</f>
        <v>0</v>
      </c>
      <c r="P17" s="2">
        <f>+Tabla268[[#This Row],[Amarillas]]+Tabla26[[#This Row],[Amarillas]]</f>
        <v>0</v>
      </c>
      <c r="Q17" s="2">
        <f>+Tabla268[[#This Row],[Rojas]]+Tabla26[[#This Row],[Rojas]]</f>
        <v>0</v>
      </c>
      <c r="R17" s="10">
        <f>(SUM(Tabla268[[#This Row],[Notas J1]:[Notas 3 y 4]])+SUM(Tabla26[[#This Row],[Notas J3]:[Notas J20]]))/(COUNTIF(Tabla268[[#This Row],[Notas J1]:[Notas 3 y 4]],"&gt;0")+COUNTIF(Tabla26[[#This Row],[Notas J3]:[Notas J20]],"&gt;0"))</f>
        <v>6.875</v>
      </c>
    </row>
    <row r="18" spans="2:18" x14ac:dyDescent="0.35">
      <c r="B18" s="5" t="s">
        <v>22</v>
      </c>
      <c r="C18" s="22">
        <f>Tabla268[[#This Row],[Partidos jugados]]+Tabla26[[#This Row],[Partidos jugados]]</f>
        <v>3</v>
      </c>
      <c r="D18" s="22">
        <f>+Tabla2[[#This Row],[Partidos jugados]]/$C$25</f>
        <v>0.11538461538461539</v>
      </c>
      <c r="E18" s="22">
        <f>+Tabla268[[#This Row],[P Ganados]]+Tabla26[[#This Row],[P Ganados]]</f>
        <v>2</v>
      </c>
      <c r="F18" s="22">
        <f>+Tabla268[[#This Row],[P Empatados]]+Tabla26[[#This Row],[P Empatados]]</f>
        <v>0</v>
      </c>
      <c r="G18" s="22">
        <f>+Tabla268[[#This Row],[P Perdidos]]+Tabla26[[#This Row],[P Perdidos]]</f>
        <v>1</v>
      </c>
      <c r="H18" s="22">
        <f>+Tabla268[[#This Row],[Goles ]]+Tabla26[[#This Row],[Goles (encajados)]]</f>
        <v>1</v>
      </c>
      <c r="I18" s="22"/>
      <c r="J18" s="22">
        <f>+Tabla268[[#This Row],[Asistencias]]+Tabla26[[#This Row],[Asistencias]]</f>
        <v>0</v>
      </c>
      <c r="K18" s="22">
        <f>+Tabla2[[#This Row],[Goles ]]+Tabla2[[#This Row],[Asistencias]]</f>
        <v>1</v>
      </c>
      <c r="L18" s="24">
        <f t="shared" si="0"/>
        <v>0.33333333333333331</v>
      </c>
      <c r="M18" s="24">
        <f t="shared" si="3"/>
        <v>0</v>
      </c>
      <c r="N18" s="24">
        <f t="shared" si="2"/>
        <v>0.33333333333333331</v>
      </c>
      <c r="O18" s="22">
        <f>+Tabla268[[#This Row],[MVP]]+Tabla26[[#This Row],[MVP]]</f>
        <v>0</v>
      </c>
      <c r="P18" s="22">
        <f>+Tabla268[[#This Row],[Amarillas]]+Tabla26[[#This Row],[Amarillas]]</f>
        <v>0</v>
      </c>
      <c r="Q18" s="22">
        <f>+Tabla268[[#This Row],[Rojas]]+Tabla26[[#This Row],[Rojas]]</f>
        <v>0</v>
      </c>
      <c r="R18" s="22">
        <f>(SUM(Tabla268[[#This Row],[Notas J1]:[Notas 3 y 4]])+SUM(Tabla26[[#This Row],[Notas J3]:[Notas J20]]))/(COUNTIF(Tabla268[[#This Row],[Notas J1]:[Notas 3 y 4]],"&gt;0")+COUNTIF(Tabla26[[#This Row],[Notas J3]:[Notas J20]],"&gt;0"))</f>
        <v>7.5</v>
      </c>
    </row>
    <row r="19" spans="2:18" x14ac:dyDescent="0.35">
      <c r="B19" s="5" t="s">
        <v>23</v>
      </c>
      <c r="C19" s="2">
        <f>Tabla268[[#This Row],[Partidos jugados]]+Tabla26[[#This Row],[Partidos jugados]]</f>
        <v>24</v>
      </c>
      <c r="D19" s="11">
        <f>+Tabla2[[#This Row],[Partidos jugados]]/$C$25</f>
        <v>0.92307692307692313</v>
      </c>
      <c r="E19" s="2">
        <f>+Tabla268[[#This Row],[P Ganados]]+Tabla26[[#This Row],[P Ganados]]</f>
        <v>17</v>
      </c>
      <c r="F19" s="2">
        <f>+Tabla268[[#This Row],[P Empatados]]+Tabla26[[#This Row],[P Empatados]]</f>
        <v>2</v>
      </c>
      <c r="G19" s="2">
        <f>+Tabla268[[#This Row],[P Perdidos]]+Tabla26[[#This Row],[P Perdidos]]</f>
        <v>5</v>
      </c>
      <c r="H19" s="2">
        <v>1</v>
      </c>
      <c r="I19" s="2">
        <f>+Tabla268[[#This Row],[Goles encajados]]+Tabla26[[#This Row],[Goles (encajados)]]</f>
        <v>-39</v>
      </c>
      <c r="J19" s="2">
        <f>+Tabla268[[#This Row],[Asistencias]]+Tabla26[[#This Row],[Asistencias]]</f>
        <v>3</v>
      </c>
      <c r="K19" s="2">
        <f>+Tabla2[[#This Row],[Goles ]]+Tabla2[[#This Row],[Asistencias]]</f>
        <v>4</v>
      </c>
      <c r="L19" s="4">
        <f>+I19/C19</f>
        <v>-1.625</v>
      </c>
      <c r="M19" s="4">
        <f t="shared" si="3"/>
        <v>0.125</v>
      </c>
      <c r="N19" s="4">
        <f>+(J19+I19)/C19</f>
        <v>-1.5</v>
      </c>
      <c r="O19" s="2">
        <f>+Tabla268[[#This Row],[MVP]]+Tabla26[[#This Row],[MVP]]</f>
        <v>6</v>
      </c>
      <c r="P19" s="2">
        <f>+Tabla268[[#This Row],[Amarillas]]+Tabla26[[#This Row],[Amarillas]]</f>
        <v>0</v>
      </c>
      <c r="Q19" s="2">
        <f>+Tabla268[[#This Row],[Rojas]]+Tabla26[[#This Row],[Rojas]]</f>
        <v>0</v>
      </c>
      <c r="R19" s="10">
        <f>(SUM(Tabla268[[#This Row],[Notas J1]:[Notas 3 y 4]])+SUM(Tabla26[[#This Row],[Notas J3]:[Notas J20]]))/(COUNTIF(Tabla268[[#This Row],[Notas J1]:[Notas 3 y 4]],"&gt;0")+COUNTIF(Tabla26[[#This Row],[Notas J3]:[Notas J20]],"&gt;0"))</f>
        <v>8.0978260869565215</v>
      </c>
    </row>
    <row r="20" spans="2:18" x14ac:dyDescent="0.35">
      <c r="B20" s="5" t="s">
        <v>24</v>
      </c>
      <c r="C20" s="22">
        <f>Tabla268[[#This Row],[Partidos jugados]]+Tabla26[[#This Row],[Partidos jugados]]</f>
        <v>22</v>
      </c>
      <c r="D20" s="22">
        <f>+Tabla2[[#This Row],[Partidos jugados]]/$C$25</f>
        <v>0.84615384615384615</v>
      </c>
      <c r="E20" s="22">
        <f>+Tabla268[[#This Row],[P Ganados]]+Tabla26[[#This Row],[P Ganados]]</f>
        <v>14</v>
      </c>
      <c r="F20" s="22">
        <f>+Tabla268[[#This Row],[P Empatados]]+Tabla26[[#This Row],[P Empatados]]</f>
        <v>3</v>
      </c>
      <c r="G20" s="22">
        <f>+Tabla268[[#This Row],[P Perdidos]]+Tabla26[[#This Row],[P Perdidos]]</f>
        <v>5</v>
      </c>
      <c r="H20" s="22">
        <f>+Tabla268[[#This Row],[Goles ]]+Tabla26[[#This Row],[Goles (encajados)]]</f>
        <v>1</v>
      </c>
      <c r="I20" s="22"/>
      <c r="J20" s="22">
        <f>+Tabla268[[#This Row],[Asistencias]]+Tabla26[[#This Row],[Asistencias]]</f>
        <v>5</v>
      </c>
      <c r="K20" s="22">
        <f>+Tabla2[[#This Row],[Goles ]]+Tabla2[[#This Row],[Asistencias]]</f>
        <v>6</v>
      </c>
      <c r="L20" s="24">
        <f t="shared" si="0"/>
        <v>4.5454545454545456E-2</v>
      </c>
      <c r="M20" s="24">
        <f t="shared" si="3"/>
        <v>0.22727272727272727</v>
      </c>
      <c r="N20" s="24">
        <f t="shared" si="2"/>
        <v>0.27272727272727271</v>
      </c>
      <c r="O20" s="22">
        <f>+Tabla268[[#This Row],[MVP]]+Tabla26[[#This Row],[MVP]]</f>
        <v>1</v>
      </c>
      <c r="P20" s="22">
        <f>+Tabla268[[#This Row],[Amarillas]]+Tabla26[[#This Row],[Amarillas]]</f>
        <v>8</v>
      </c>
      <c r="Q20" s="22">
        <f>+Tabla268[[#This Row],[Rojas]]+Tabla26[[#This Row],[Rojas]]</f>
        <v>0</v>
      </c>
      <c r="R20" s="22">
        <f>(SUM(Tabla268[[#This Row],[Notas J1]:[Notas 3 y 4]])+SUM(Tabla26[[#This Row],[Notas J3]:[Notas J20]]))/(COUNTIF(Tabla268[[#This Row],[Notas J1]:[Notas 3 y 4]],"&gt;0")+COUNTIF(Tabla26[[#This Row],[Notas J3]:[Notas J20]],"&gt;0"))</f>
        <v>7.8624999999999998</v>
      </c>
    </row>
    <row r="21" spans="2:18" x14ac:dyDescent="0.35">
      <c r="B21" s="5" t="s">
        <v>25</v>
      </c>
      <c r="C21" s="2">
        <f>Tabla268[[#This Row],[Partidos jugados]]+Tabla26[[#This Row],[Partidos jugados]]</f>
        <v>3</v>
      </c>
      <c r="D21" s="11">
        <f>+Tabla2[[#This Row],[Partidos jugados]]/$C$25</f>
        <v>0.11538461538461539</v>
      </c>
      <c r="E21" s="2">
        <f>+Tabla268[[#This Row],[P Ganados]]+Tabla26[[#This Row],[P Ganados]]</f>
        <v>2</v>
      </c>
      <c r="F21" s="2">
        <f>+Tabla268[[#This Row],[P Empatados]]+Tabla26[[#This Row],[P Empatados]]</f>
        <v>1</v>
      </c>
      <c r="G21" s="2">
        <f>+Tabla268[[#This Row],[P Perdidos]]+Tabla26[[#This Row],[P Perdidos]]</f>
        <v>0</v>
      </c>
      <c r="H21" s="2">
        <f>+Tabla268[[#This Row],[Goles ]]+Tabla26[[#This Row],[Goles (encajados)]]</f>
        <v>1</v>
      </c>
      <c r="I21" s="2"/>
      <c r="J21" s="2">
        <f>+Tabla268[[#This Row],[Asistencias]]+Tabla26[[#This Row],[Asistencias]]</f>
        <v>0</v>
      </c>
      <c r="K21" s="2">
        <f>+Tabla2[[#This Row],[Goles ]]+Tabla2[[#This Row],[Asistencias]]</f>
        <v>1</v>
      </c>
      <c r="L21" s="4">
        <f t="shared" si="0"/>
        <v>0.33333333333333331</v>
      </c>
      <c r="M21" s="4">
        <f t="shared" si="3"/>
        <v>0</v>
      </c>
      <c r="N21" s="4">
        <f t="shared" si="2"/>
        <v>0.33333333333333331</v>
      </c>
      <c r="O21" s="2">
        <f>+Tabla268[[#This Row],[MVP]]+Tabla26[[#This Row],[MVP]]</f>
        <v>0</v>
      </c>
      <c r="P21" s="2">
        <f>+Tabla268[[#This Row],[Amarillas]]+Tabla26[[#This Row],[Amarillas]]</f>
        <v>0</v>
      </c>
      <c r="Q21" s="2">
        <f>+Tabla268[[#This Row],[Rojas]]+Tabla26[[#This Row],[Rojas]]</f>
        <v>0</v>
      </c>
      <c r="R21" s="10">
        <f>(SUM(Tabla268[[#This Row],[Notas J1]:[Notas 3 y 4]])+SUM(Tabla26[[#This Row],[Notas J3]:[Notas J20]]))/(COUNTIF(Tabla268[[#This Row],[Notas J1]:[Notas 3 y 4]],"&gt;0")+COUNTIF(Tabla26[[#This Row],[Notas J3]:[Notas J20]],"&gt;0"))</f>
        <v>7</v>
      </c>
    </row>
    <row r="22" spans="2:18" x14ac:dyDescent="0.35">
      <c r="B22" s="5" t="s">
        <v>76</v>
      </c>
      <c r="C22" s="22">
        <f>Tabla268[[#This Row],[Partidos jugados]]+Tabla26[[#This Row],[Partidos jugados]]</f>
        <v>9</v>
      </c>
      <c r="D22" s="22">
        <f>+Tabla2[[#This Row],[Partidos jugados]]/$C$25</f>
        <v>0.34615384615384615</v>
      </c>
      <c r="E22" s="22">
        <f>+Tabla268[[#This Row],[P Ganados]]+Tabla26[[#This Row],[P Ganados]]</f>
        <v>4</v>
      </c>
      <c r="F22" s="22">
        <f>+Tabla268[[#This Row],[P Empatados]]+Tabla26[[#This Row],[P Empatados]]</f>
        <v>3</v>
      </c>
      <c r="G22" s="22">
        <f>+Tabla268[[#This Row],[P Perdidos]]+Tabla26[[#This Row],[P Perdidos]]</f>
        <v>2</v>
      </c>
      <c r="H22" s="22">
        <f>+Tabla268[[#This Row],[Goles ]]+Tabla26[[#This Row],[Goles (encajados)]]</f>
        <v>10</v>
      </c>
      <c r="I22" s="22"/>
      <c r="J22" s="22">
        <f>+Tabla268[[#This Row],[Asistencias]]+Tabla26[[#This Row],[Asistencias]]</f>
        <v>0</v>
      </c>
      <c r="K22" s="22">
        <f>+Tabla2[[#This Row],[Goles ]]+Tabla2[[#This Row],[Asistencias]]</f>
        <v>10</v>
      </c>
      <c r="L22" s="24">
        <f t="shared" si="0"/>
        <v>1.1111111111111112</v>
      </c>
      <c r="M22" s="24">
        <f t="shared" si="3"/>
        <v>0</v>
      </c>
      <c r="N22" s="24">
        <f t="shared" si="2"/>
        <v>1.1111111111111112</v>
      </c>
      <c r="O22" s="22">
        <f>+Tabla268[[#This Row],[MVP]]+Tabla26[[#This Row],[MVP]]</f>
        <v>2</v>
      </c>
      <c r="P22" s="22">
        <f>+Tabla268[[#This Row],[Amarillas]]+Tabla26[[#This Row],[Amarillas]]</f>
        <v>0</v>
      </c>
      <c r="Q22" s="22">
        <f>+Tabla268[[#This Row],[Rojas]]+Tabla26[[#This Row],[Rojas]]</f>
        <v>0</v>
      </c>
      <c r="R22" s="22">
        <f>(SUM(Tabla268[[#This Row],[Notas J1]:[Notas 3 y 4]])+SUM(Tabla26[[#This Row],[Notas J3]:[Notas J20]]))/(COUNTIF(Tabla268[[#This Row],[Notas J1]:[Notas 3 y 4]],"&gt;0")+COUNTIF(Tabla26[[#This Row],[Notas J3]:[Notas J20]],"&gt;0"))</f>
        <v>7.916666666666667</v>
      </c>
    </row>
    <row r="23" spans="2:18" x14ac:dyDescent="0.35">
      <c r="B23" s="5" t="s">
        <v>86</v>
      </c>
      <c r="C23" s="2">
        <f>Tabla268[[#This Row],[Partidos jugados]]+Tabla26[[#This Row],[Partidos jugados]]</f>
        <v>3</v>
      </c>
      <c r="D23" s="11">
        <f>+Tabla2[[#This Row],[Partidos jugados]]/$C$25</f>
        <v>0.11538461538461539</v>
      </c>
      <c r="E23" s="2">
        <f>+Tabla268[[#This Row],[P Ganados]]+Tabla26[[#This Row],[P Ganados]]</f>
        <v>1</v>
      </c>
      <c r="F23" s="2">
        <f>+Tabla268[[#This Row],[P Empatados]]+Tabla26[[#This Row],[P Empatados]]</f>
        <v>0</v>
      </c>
      <c r="G23" s="2">
        <f>+Tabla268[[#This Row],[P Perdidos]]+Tabla26[[#This Row],[P Perdidos]]</f>
        <v>2</v>
      </c>
      <c r="H23" s="2"/>
      <c r="I23" s="2"/>
      <c r="J23" s="2">
        <f>+Tabla268[[#This Row],[Asistencias]]+Tabla26[[#This Row],[Asistencias]]</f>
        <v>1</v>
      </c>
      <c r="K23" s="2">
        <f>+Tabla2[[#This Row],[Goles ]]+Tabla2[[#This Row],[Asistencias]]</f>
        <v>1</v>
      </c>
      <c r="L23" s="4">
        <f t="shared" si="0"/>
        <v>0</v>
      </c>
      <c r="M23" s="4">
        <f t="shared" si="3"/>
        <v>0.33333333333333331</v>
      </c>
      <c r="N23" s="4">
        <f t="shared" si="2"/>
        <v>0.33333333333333331</v>
      </c>
      <c r="O23" s="2">
        <f>+Tabla268[[#This Row],[MVP]]+Tabla26[[#This Row],[MVP]]</f>
        <v>0</v>
      </c>
      <c r="P23" s="2">
        <f>+Tabla268[[#This Row],[Amarillas]]+Tabla26[[#This Row],[Amarillas]]</f>
        <v>0</v>
      </c>
      <c r="Q23" s="2">
        <f>+Tabla268[[#This Row],[Rojas]]+Tabla26[[#This Row],[Rojas]]</f>
        <v>0</v>
      </c>
      <c r="R23" s="10">
        <f>(SUM(Tabla268[[#This Row],[Notas J1]:[Notas 3 y 4]])+SUM(Tabla26[[#This Row],[Notas J3]:[Notas J20]]))/(COUNTIF(Tabla268[[#This Row],[Notas J1]:[Notas 3 y 4]],"&gt;0")+COUNTIF(Tabla26[[#This Row],[Notas J3]:[Notas J20]],"&gt;0"))</f>
        <v>7</v>
      </c>
    </row>
    <row r="24" spans="2:18" x14ac:dyDescent="0.35">
      <c r="B24" s="5" t="s">
        <v>78</v>
      </c>
      <c r="C24" s="22">
        <f>Tabla268[[#This Row],[Partidos jugados]]+Tabla26[[#This Row],[Partidos jugados]]</f>
        <v>1</v>
      </c>
      <c r="D24" s="22">
        <f>+Tabla2[[#This Row],[Partidos jugados]]/$C$25</f>
        <v>3.8461538461538464E-2</v>
      </c>
      <c r="E24" s="22">
        <f>+Tabla268[[#This Row],[P Ganados]]+Tabla26[[#This Row],[P Ganados]]</f>
        <v>0</v>
      </c>
      <c r="F24" s="22">
        <f>+Tabla268[[#This Row],[P Empatados]]+Tabla26[[#This Row],[P Empatados]]</f>
        <v>1</v>
      </c>
      <c r="G24" s="22">
        <f>+Tabla268[[#This Row],[P Perdidos]]+Tabla26[[#This Row],[P Perdidos]]</f>
        <v>0</v>
      </c>
      <c r="H24" s="22"/>
      <c r="I24" s="22">
        <f>+Tabla268[[#This Row],[Goles ]]+Tabla26[[#This Row],[Goles (encajados)]]</f>
        <v>-2</v>
      </c>
      <c r="J24" s="22">
        <f>+Tabla268[[#This Row],[Asistencias]]+Tabla26[[#This Row],[Asistencias]]</f>
        <v>0</v>
      </c>
      <c r="K24" s="22">
        <f>+Tabla2[[#This Row],[Goles ]]+Tabla2[[#This Row],[Asistencias]]</f>
        <v>0</v>
      </c>
      <c r="L24" s="24">
        <f t="shared" si="0"/>
        <v>0</v>
      </c>
      <c r="M24" s="24">
        <f t="shared" si="3"/>
        <v>0</v>
      </c>
      <c r="N24" s="24">
        <f t="shared" si="2"/>
        <v>0</v>
      </c>
      <c r="O24" s="22">
        <f>+Tabla268[[#This Row],[MVP]]+Tabla26[[#This Row],[MVP]]</f>
        <v>0</v>
      </c>
      <c r="P24" s="22">
        <f>+Tabla268[[#This Row],[Amarillas]]+Tabla26[[#This Row],[Amarillas]]</f>
        <v>0</v>
      </c>
      <c r="Q24" s="22">
        <f>+Tabla268[[#This Row],[Rojas]]+Tabla26[[#This Row],[Rojas]]</f>
        <v>0</v>
      </c>
      <c r="R24" s="22">
        <f>(SUM(Tabla268[[#This Row],[Notas J1]:[Notas 3 y 4]])+SUM(Tabla26[[#This Row],[Notas J3]:[Notas J20]]))/(COUNTIF(Tabla268[[#This Row],[Notas J1]:[Notas 3 y 4]],"&gt;0")+COUNTIF(Tabla26[[#This Row],[Notas J3]:[Notas J20]],"&gt;0"))</f>
        <v>8.25</v>
      </c>
    </row>
    <row r="25" spans="2:18" x14ac:dyDescent="0.35">
      <c r="B25" s="5" t="s">
        <v>32</v>
      </c>
      <c r="C25" s="12">
        <f>+MAX(C4:C24)</f>
        <v>26</v>
      </c>
      <c r="D25" s="12"/>
      <c r="E25" s="12">
        <f>+MAX(E4:E24)</f>
        <v>17</v>
      </c>
      <c r="F25" s="12">
        <f>+MAX(F4:F24)</f>
        <v>3</v>
      </c>
      <c r="G25" s="12">
        <f>+MAX(G4:G24)</f>
        <v>6</v>
      </c>
      <c r="H25" s="12">
        <f>+SUM(H4:H11)+SUM(H13:H18)+SUM(H20:H22)</f>
        <v>109</v>
      </c>
      <c r="I25" s="12">
        <f>-I12-I19-I24</f>
        <v>52</v>
      </c>
      <c r="J25" s="12">
        <f>+SUM(J4:J22)</f>
        <v>86</v>
      </c>
      <c r="K25" s="12">
        <f>+Tabla2[[#This Row],[Goles ]]+Tabla2[[#This Row],[Asistencias]]</f>
        <v>195</v>
      </c>
      <c r="L25" s="13"/>
      <c r="M25" s="13"/>
      <c r="N25" s="13"/>
      <c r="O25" s="12"/>
      <c r="P25" s="12">
        <f>+SUM(P4:P21)</f>
        <v>35</v>
      </c>
      <c r="Q25" s="12">
        <f>+SUM(Q4:Q21)</f>
        <v>2</v>
      </c>
      <c r="R25" s="14">
        <f>(SUM(Tabla268[[#This Row],[Notas J1]:[Notas 3 y 4]])+SUM(Tabla26[[#This Row],[Notas J3]:[Notas J20]]))/(COUNTIF(Tabla268[[#This Row],[Notas J1]:[Notas 3 y 4]],"&gt;0")+COUNTIF(Tabla26[[#This Row],[Notas J3]:[Notas J20]],"&gt;0"))</f>
        <v>7.6517784299034304</v>
      </c>
    </row>
    <row r="27" spans="2:18" x14ac:dyDescent="0.35">
      <c r="G27" s="16" t="s">
        <v>80</v>
      </c>
      <c r="H27" s="16">
        <f>+'COPA 24-25'!H27+'LIGA 24-25'!H27</f>
        <v>4</v>
      </c>
      <c r="I27" s="19"/>
    </row>
    <row r="28" spans="2:18" x14ac:dyDescent="0.35">
      <c r="D28" s="7"/>
    </row>
    <row r="29" spans="2:18" x14ac:dyDescent="0.35">
      <c r="B29" s="8" t="s">
        <v>33</v>
      </c>
      <c r="C29" s="6" t="s">
        <v>51</v>
      </c>
      <c r="D29" s="6"/>
    </row>
    <row r="30" spans="2:18" x14ac:dyDescent="0.35">
      <c r="B30" s="8" t="s">
        <v>34</v>
      </c>
      <c r="C30" s="6" t="s">
        <v>51</v>
      </c>
      <c r="D30" s="6"/>
    </row>
    <row r="31" spans="2:18" x14ac:dyDescent="0.35">
      <c r="B31" t="s">
        <v>50</v>
      </c>
      <c r="C31" s="7">
        <f>+Tabla179[[#This Row],[Columna1]]+Tabla17[[#This Row],[Columna1]]</f>
        <v>62</v>
      </c>
      <c r="D31" s="7"/>
    </row>
  </sheetData>
  <mergeCells count="1">
    <mergeCell ref="P2:Q2"/>
  </mergeCells>
  <phoneticPr fontId="4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2B54-5B28-4547-8303-71C1AAE7CBA9}">
  <dimension ref="B2:AJ31"/>
  <sheetViews>
    <sheetView topLeftCell="F1" zoomScale="57" zoomScaleNormal="57" workbookViewId="0">
      <selection activeCell="H20" sqref="H20"/>
    </sheetView>
  </sheetViews>
  <sheetFormatPr baseColWidth="10" defaultRowHeight="14.5" x14ac:dyDescent="0.35"/>
  <cols>
    <col min="2" max="2" width="15.453125" bestFit="1" customWidth="1"/>
    <col min="3" max="4" width="16.1796875" customWidth="1"/>
    <col min="5" max="5" width="11.453125" customWidth="1"/>
    <col min="6" max="6" width="13.36328125" customWidth="1"/>
    <col min="7" max="7" width="11.36328125" customWidth="1"/>
    <col min="8" max="8" width="17.453125" customWidth="1"/>
    <col min="9" max="10" width="12.1796875" customWidth="1"/>
    <col min="35" max="35" width="16.08984375" customWidth="1"/>
    <col min="36" max="36" width="12.453125" customWidth="1"/>
  </cols>
  <sheetData>
    <row r="2" spans="2:36" ht="15" thickBot="1" x14ac:dyDescent="0.4">
      <c r="O2" s="40" t="s">
        <v>26</v>
      </c>
      <c r="P2" s="41"/>
    </row>
    <row r="3" spans="2:36" ht="15" thickTop="1" x14ac:dyDescent="0.35">
      <c r="B3" s="1" t="s">
        <v>0</v>
      </c>
      <c r="C3" s="1" t="s">
        <v>5</v>
      </c>
      <c r="D3" s="1" t="s">
        <v>74</v>
      </c>
      <c r="E3" s="1" t="s">
        <v>6</v>
      </c>
      <c r="F3" s="1" t="s">
        <v>7</v>
      </c>
      <c r="G3" s="1" t="s">
        <v>8</v>
      </c>
      <c r="H3" s="1" t="s">
        <v>30</v>
      </c>
      <c r="I3" s="1" t="s">
        <v>1</v>
      </c>
      <c r="J3" s="1" t="s">
        <v>73</v>
      </c>
      <c r="K3" s="1" t="s">
        <v>2</v>
      </c>
      <c r="L3" s="1" t="s">
        <v>3</v>
      </c>
      <c r="M3" s="1" t="s">
        <v>4</v>
      </c>
      <c r="N3" s="1" t="s">
        <v>29</v>
      </c>
      <c r="O3" s="1" t="s">
        <v>27</v>
      </c>
      <c r="P3" s="1" t="s">
        <v>28</v>
      </c>
      <c r="Q3" s="1" t="s">
        <v>53</v>
      </c>
      <c r="R3" s="1" t="s">
        <v>56</v>
      </c>
      <c r="S3" s="1" t="s">
        <v>57</v>
      </c>
      <c r="T3" s="1" t="s">
        <v>58</v>
      </c>
      <c r="U3" s="1" t="s">
        <v>59</v>
      </c>
      <c r="V3" s="1" t="s">
        <v>60</v>
      </c>
      <c r="W3" s="1" t="s">
        <v>61</v>
      </c>
      <c r="X3" s="1" t="s">
        <v>62</v>
      </c>
      <c r="Y3" s="1" t="s">
        <v>63</v>
      </c>
      <c r="Z3" s="1" t="s">
        <v>64</v>
      </c>
      <c r="AA3" s="1" t="s">
        <v>65</v>
      </c>
      <c r="AB3" s="1" t="s">
        <v>66</v>
      </c>
      <c r="AC3" s="1" t="s">
        <v>67</v>
      </c>
      <c r="AD3" s="1" t="s">
        <v>68</v>
      </c>
      <c r="AE3" s="1" t="s">
        <v>69</v>
      </c>
      <c r="AF3" s="1" t="s">
        <v>70</v>
      </c>
      <c r="AG3" s="1" t="s">
        <v>71</v>
      </c>
      <c r="AH3" s="1" t="s">
        <v>72</v>
      </c>
      <c r="AI3" s="1" t="s">
        <v>52</v>
      </c>
      <c r="AJ3" s="1" t="s">
        <v>75</v>
      </c>
    </row>
    <row r="4" spans="2:36" x14ac:dyDescent="0.35">
      <c r="B4" s="1" t="s">
        <v>9</v>
      </c>
      <c r="C4" s="2">
        <v>8</v>
      </c>
      <c r="D4" s="11">
        <f>+Tabla26[[#This Row],[Partidos jugados]]/$C$25</f>
        <v>0.4</v>
      </c>
      <c r="E4" s="2">
        <v>5</v>
      </c>
      <c r="F4" s="2">
        <v>2</v>
      </c>
      <c r="G4" s="2">
        <v>1</v>
      </c>
      <c r="H4" s="2">
        <v>3</v>
      </c>
      <c r="I4" s="2">
        <v>3</v>
      </c>
      <c r="J4" s="2">
        <f>+Tabla26[[#This Row],[Goles (encajados)]]+Tabla26[[#This Row],[Asistencias]]</f>
        <v>6</v>
      </c>
      <c r="K4" s="4">
        <f t="shared" ref="K4:K24" si="0">+H4/C4</f>
        <v>0.375</v>
      </c>
      <c r="L4" s="4">
        <f t="shared" ref="L4:L6" si="1">+I4/C4</f>
        <v>0.375</v>
      </c>
      <c r="M4" s="4">
        <f>+(I4+H4)/C4</f>
        <v>0.75</v>
      </c>
      <c r="N4" s="2"/>
      <c r="O4" s="2">
        <v>1</v>
      </c>
      <c r="P4" s="2"/>
      <c r="Q4" s="10"/>
      <c r="R4" s="10"/>
      <c r="S4" s="10"/>
      <c r="T4" s="10"/>
      <c r="U4" s="10"/>
      <c r="V4" s="10"/>
      <c r="W4" s="10">
        <v>6</v>
      </c>
      <c r="X4" s="10"/>
      <c r="Y4" s="10"/>
      <c r="Z4" s="10">
        <v>6</v>
      </c>
      <c r="AA4" s="10">
        <v>7.5</v>
      </c>
      <c r="AB4" s="10">
        <v>7</v>
      </c>
      <c r="AC4" s="10">
        <v>8.25</v>
      </c>
      <c r="AD4" s="10"/>
      <c r="AE4" s="10"/>
      <c r="AF4" s="10">
        <v>8.25</v>
      </c>
      <c r="AG4" s="10">
        <v>9</v>
      </c>
      <c r="AH4" s="10">
        <v>7.5</v>
      </c>
      <c r="AI4" s="10">
        <f>+SUM(Tabla26[[#This Row],[Notas J3]:[Notas J20]])/COUNTIF(Tabla26[[#This Row],[Notas J3]:[Notas J20]],"&gt;0")</f>
        <v>7.4375</v>
      </c>
      <c r="AJ4" s="10" t="s">
        <v>9</v>
      </c>
    </row>
    <row r="5" spans="2:36" x14ac:dyDescent="0.35">
      <c r="B5" s="1" t="s">
        <v>77</v>
      </c>
      <c r="C5" s="2">
        <v>18</v>
      </c>
      <c r="D5" s="11">
        <f>+Tabla26[[#This Row],[Partidos jugados]]/$C$25</f>
        <v>0.9</v>
      </c>
      <c r="E5" s="2">
        <v>13</v>
      </c>
      <c r="F5" s="2">
        <v>1</v>
      </c>
      <c r="G5" s="2">
        <v>4</v>
      </c>
      <c r="H5" s="2">
        <v>7</v>
      </c>
      <c r="I5" s="2">
        <v>7</v>
      </c>
      <c r="J5" s="2">
        <f>+Tabla26[[#This Row],[Goles (encajados)]]+Tabla26[[#This Row],[Asistencias]]</f>
        <v>14</v>
      </c>
      <c r="K5" s="4">
        <f t="shared" si="0"/>
        <v>0.3888888888888889</v>
      </c>
      <c r="L5" s="4">
        <f t="shared" si="1"/>
        <v>0.3888888888888889</v>
      </c>
      <c r="M5" s="4">
        <f t="shared" ref="M5:M24" si="2">+(I5+H5)/C5</f>
        <v>0.77777777777777779</v>
      </c>
      <c r="N5" s="2">
        <v>1</v>
      </c>
      <c r="O5" s="2"/>
      <c r="P5" s="2"/>
      <c r="Q5" s="10">
        <v>8.5</v>
      </c>
      <c r="R5" s="10">
        <v>8</v>
      </c>
      <c r="S5" s="10">
        <v>5.75</v>
      </c>
      <c r="T5" s="10">
        <v>6.75</v>
      </c>
      <c r="U5" s="10">
        <v>8</v>
      </c>
      <c r="V5" s="10">
        <v>7.25</v>
      </c>
      <c r="W5" s="10">
        <v>6</v>
      </c>
      <c r="X5" s="10">
        <v>8.5</v>
      </c>
      <c r="Y5" s="10">
        <v>9</v>
      </c>
      <c r="Z5" s="10"/>
      <c r="AA5" s="10">
        <v>8.5</v>
      </c>
      <c r="AB5" s="10">
        <v>8</v>
      </c>
      <c r="AC5" s="10">
        <v>8.75</v>
      </c>
      <c r="AD5" s="10">
        <v>7.75</v>
      </c>
      <c r="AE5" s="10">
        <v>8.25</v>
      </c>
      <c r="AF5" s="10">
        <v>7.5</v>
      </c>
      <c r="AG5" s="10">
        <v>8.5</v>
      </c>
      <c r="AH5" s="10"/>
      <c r="AI5" s="10">
        <f>+SUM(Tabla26[[#This Row],[Notas J3]:[Notas J20]])/COUNTIF(Tabla26[[#This Row],[Notas J3]:[Notas J20]],"&gt;0")</f>
        <v>7.8125</v>
      </c>
      <c r="AJ5" s="10" t="s">
        <v>77</v>
      </c>
    </row>
    <row r="6" spans="2:36" x14ac:dyDescent="0.35">
      <c r="B6" s="1" t="s">
        <v>11</v>
      </c>
      <c r="C6" s="2">
        <v>20</v>
      </c>
      <c r="D6" s="11">
        <f>+Tabla26[[#This Row],[Partidos jugados]]/$C$25</f>
        <v>1</v>
      </c>
      <c r="E6" s="2">
        <v>14</v>
      </c>
      <c r="F6" s="2">
        <v>2</v>
      </c>
      <c r="G6" s="2">
        <v>4</v>
      </c>
      <c r="H6" s="2">
        <v>16</v>
      </c>
      <c r="I6" s="2">
        <v>7</v>
      </c>
      <c r="J6" s="2">
        <f>+Tabla26[[#This Row],[Goles (encajados)]]+Tabla26[[#This Row],[Asistencias]]</f>
        <v>23</v>
      </c>
      <c r="K6" s="4">
        <f t="shared" si="0"/>
        <v>0.8</v>
      </c>
      <c r="L6" s="4">
        <f t="shared" si="1"/>
        <v>0.35</v>
      </c>
      <c r="M6" s="4">
        <f t="shared" si="2"/>
        <v>1.1499999999999999</v>
      </c>
      <c r="N6" s="2">
        <v>2</v>
      </c>
      <c r="O6" s="2">
        <v>7</v>
      </c>
      <c r="P6" s="2">
        <v>1</v>
      </c>
      <c r="Q6" s="10">
        <v>8.5</v>
      </c>
      <c r="R6" s="10">
        <v>8</v>
      </c>
      <c r="S6" s="10">
        <v>7.75</v>
      </c>
      <c r="T6" s="10">
        <v>8.5</v>
      </c>
      <c r="U6" s="10">
        <v>8.75</v>
      </c>
      <c r="V6" s="10">
        <v>6</v>
      </c>
      <c r="W6" s="10">
        <v>5.5</v>
      </c>
      <c r="X6" s="10">
        <v>7.25</v>
      </c>
      <c r="Y6" s="10">
        <v>4.5</v>
      </c>
      <c r="Z6" s="10">
        <v>3.75</v>
      </c>
      <c r="AA6" s="10">
        <v>7.25</v>
      </c>
      <c r="AB6" s="10">
        <v>6.75</v>
      </c>
      <c r="AC6" s="10">
        <v>8.25</v>
      </c>
      <c r="AD6" s="10">
        <v>6.5</v>
      </c>
      <c r="AE6" s="10">
        <v>8</v>
      </c>
      <c r="AF6" s="10">
        <v>7.5</v>
      </c>
      <c r="AG6" s="10">
        <v>8.75</v>
      </c>
      <c r="AH6" s="10">
        <v>8</v>
      </c>
      <c r="AI6" s="10">
        <f>+SUM(Tabla26[[#This Row],[Notas J3]:[Notas J20]])/COUNTIF(Tabla26[[#This Row],[Notas J3]:[Notas J20]],"&gt;0")</f>
        <v>7.1944444444444446</v>
      </c>
      <c r="AJ6" s="10" t="s">
        <v>11</v>
      </c>
    </row>
    <row r="7" spans="2:36" x14ac:dyDescent="0.35">
      <c r="B7" s="1" t="s">
        <v>12</v>
      </c>
      <c r="C7" s="2">
        <v>14</v>
      </c>
      <c r="D7" s="11">
        <f>+Tabla26[[#This Row],[Partidos jugados]]/$C$25</f>
        <v>0.7</v>
      </c>
      <c r="E7" s="2">
        <v>9</v>
      </c>
      <c r="F7" s="2">
        <v>2</v>
      </c>
      <c r="G7" s="2">
        <v>3</v>
      </c>
      <c r="H7" s="2">
        <v>5</v>
      </c>
      <c r="I7" s="2">
        <v>4</v>
      </c>
      <c r="J7" s="2">
        <f>+Tabla26[[#This Row],[Goles (encajados)]]+Tabla26[[#This Row],[Asistencias]]</f>
        <v>9</v>
      </c>
      <c r="K7" s="4">
        <f t="shared" si="0"/>
        <v>0.35714285714285715</v>
      </c>
      <c r="L7" s="4">
        <f>+I7/C7</f>
        <v>0.2857142857142857</v>
      </c>
      <c r="M7" s="4">
        <f t="shared" si="2"/>
        <v>0.6428571428571429</v>
      </c>
      <c r="N7" s="2">
        <v>2</v>
      </c>
      <c r="O7" s="2">
        <v>1</v>
      </c>
      <c r="P7" s="2"/>
      <c r="Q7" s="10">
        <v>8</v>
      </c>
      <c r="R7" s="10">
        <v>8</v>
      </c>
      <c r="S7" s="10"/>
      <c r="T7" s="10"/>
      <c r="U7" s="10"/>
      <c r="V7" s="10"/>
      <c r="W7" s="10"/>
      <c r="X7" s="10">
        <v>9.75</v>
      </c>
      <c r="Y7" s="10">
        <v>8.25</v>
      </c>
      <c r="Z7" s="10">
        <v>4</v>
      </c>
      <c r="AA7" s="10">
        <v>7.5</v>
      </c>
      <c r="AB7" s="10">
        <v>7.5</v>
      </c>
      <c r="AC7" s="10">
        <v>8.75</v>
      </c>
      <c r="AD7" s="10">
        <v>7.75</v>
      </c>
      <c r="AE7" s="10">
        <v>8.25</v>
      </c>
      <c r="AF7" s="10">
        <v>8.5</v>
      </c>
      <c r="AG7" s="10">
        <v>8.75</v>
      </c>
      <c r="AH7" s="10"/>
      <c r="AI7" s="10">
        <f>+SUM(Tabla26[[#This Row],[Notas J3]:[Notas J20]])/COUNTIF(Tabla26[[#This Row],[Notas J3]:[Notas J20]],"&gt;0")</f>
        <v>7.916666666666667</v>
      </c>
      <c r="AJ7" s="10" t="s">
        <v>12</v>
      </c>
    </row>
    <row r="8" spans="2:36" x14ac:dyDescent="0.35">
      <c r="B8" s="1" t="s">
        <v>13</v>
      </c>
      <c r="C8" s="2">
        <v>5</v>
      </c>
      <c r="D8" s="11">
        <f>+Tabla26[[#This Row],[Partidos jugados]]/$C$25</f>
        <v>0.25</v>
      </c>
      <c r="E8" s="2">
        <v>3</v>
      </c>
      <c r="F8" s="2"/>
      <c r="G8" s="2">
        <v>2</v>
      </c>
      <c r="H8" s="2">
        <v>1</v>
      </c>
      <c r="I8" s="2"/>
      <c r="J8" s="2">
        <f>+Tabla26[[#This Row],[Goles (encajados)]]+Tabla26[[#This Row],[Asistencias]]</f>
        <v>1</v>
      </c>
      <c r="K8" s="4">
        <f t="shared" si="0"/>
        <v>0.2</v>
      </c>
      <c r="L8" s="4">
        <f t="shared" ref="L8:L24" si="3">+I8/C8</f>
        <v>0</v>
      </c>
      <c r="M8" s="4">
        <f t="shared" si="2"/>
        <v>0.2</v>
      </c>
      <c r="N8" s="2"/>
      <c r="O8" s="2"/>
      <c r="P8" s="2"/>
      <c r="Q8" s="10"/>
      <c r="R8" s="10"/>
      <c r="S8" s="10"/>
      <c r="T8" s="10"/>
      <c r="U8" s="10"/>
      <c r="V8" s="10"/>
      <c r="W8" s="10">
        <v>5.25</v>
      </c>
      <c r="X8" s="10"/>
      <c r="Y8" s="10"/>
      <c r="Z8" s="10"/>
      <c r="AA8" s="10"/>
      <c r="AB8" s="10"/>
      <c r="AC8" s="10"/>
      <c r="AD8" s="10">
        <v>5.75</v>
      </c>
      <c r="AE8" s="10"/>
      <c r="AF8" s="10">
        <v>5.5</v>
      </c>
      <c r="AG8" s="10">
        <v>7.75</v>
      </c>
      <c r="AH8" s="10">
        <v>7</v>
      </c>
      <c r="AI8" s="10">
        <f>+SUM(Tabla26[[#This Row],[Notas J3]:[Notas J20]])/COUNTIF(Tabla26[[#This Row],[Notas J3]:[Notas J20]],"&gt;0")</f>
        <v>6.25</v>
      </c>
      <c r="AJ8" s="10" t="s">
        <v>13</v>
      </c>
    </row>
    <row r="9" spans="2:36" x14ac:dyDescent="0.35">
      <c r="B9" s="1" t="s">
        <v>14</v>
      </c>
      <c r="C9" s="2">
        <v>17</v>
      </c>
      <c r="D9" s="11">
        <f>+Tabla26[[#This Row],[Partidos jugados]]/$C$25</f>
        <v>0.85</v>
      </c>
      <c r="E9" s="2">
        <v>12</v>
      </c>
      <c r="F9" s="2">
        <v>2</v>
      </c>
      <c r="G9" s="2">
        <v>3</v>
      </c>
      <c r="H9" s="2">
        <v>23</v>
      </c>
      <c r="I9" s="2">
        <v>16</v>
      </c>
      <c r="J9" s="2">
        <f>+Tabla26[[#This Row],[Goles (encajados)]]+Tabla26[[#This Row],[Asistencias]]</f>
        <v>39</v>
      </c>
      <c r="K9" s="4">
        <f t="shared" si="0"/>
        <v>1.3529411764705883</v>
      </c>
      <c r="L9" s="4">
        <f t="shared" si="3"/>
        <v>0.94117647058823528</v>
      </c>
      <c r="M9" s="4">
        <f t="shared" si="2"/>
        <v>2.2941176470588234</v>
      </c>
      <c r="N9" s="2">
        <v>3</v>
      </c>
      <c r="O9" s="2">
        <v>3</v>
      </c>
      <c r="P9" s="2"/>
      <c r="Q9" s="10">
        <v>9.25</v>
      </c>
      <c r="R9" s="10">
        <v>9.5</v>
      </c>
      <c r="S9" s="10"/>
      <c r="T9" s="10">
        <v>8.25</v>
      </c>
      <c r="U9" s="10">
        <v>8.25</v>
      </c>
      <c r="V9" s="10">
        <v>9</v>
      </c>
      <c r="W9" s="10">
        <v>6.5</v>
      </c>
      <c r="X9" s="10">
        <v>9.25</v>
      </c>
      <c r="Y9" s="10">
        <v>7.5</v>
      </c>
      <c r="Z9" s="10">
        <v>5.75</v>
      </c>
      <c r="AA9" s="10">
        <v>9.25</v>
      </c>
      <c r="AB9" s="10">
        <v>8.5</v>
      </c>
      <c r="AC9" s="10">
        <v>9.5</v>
      </c>
      <c r="AD9" s="10">
        <v>7.5</v>
      </c>
      <c r="AE9" s="10">
        <v>9.25</v>
      </c>
      <c r="AF9" s="10">
        <v>7.5</v>
      </c>
      <c r="AG9" s="10"/>
      <c r="AH9" s="10"/>
      <c r="AI9" s="10">
        <f>+SUM(Tabla26[[#This Row],[Notas J3]:[Notas J20]])/COUNTIF(Tabla26[[#This Row],[Notas J3]:[Notas J20]],"&gt;0")</f>
        <v>8.3166666666666664</v>
      </c>
      <c r="AJ9" s="10" t="s">
        <v>14</v>
      </c>
    </row>
    <row r="10" spans="2:36" x14ac:dyDescent="0.35">
      <c r="B10" s="1" t="s">
        <v>15</v>
      </c>
      <c r="C10" s="2">
        <v>20</v>
      </c>
      <c r="D10" s="11">
        <f>+Tabla26[[#This Row],[Partidos jugados]]/$C$25</f>
        <v>1</v>
      </c>
      <c r="E10" s="2">
        <v>14</v>
      </c>
      <c r="F10" s="2">
        <v>2</v>
      </c>
      <c r="G10" s="2">
        <v>4</v>
      </c>
      <c r="H10" s="2">
        <v>7</v>
      </c>
      <c r="I10" s="2">
        <v>9</v>
      </c>
      <c r="J10" s="2">
        <f>+Tabla26[[#This Row],[Goles (encajados)]]+Tabla26[[#This Row],[Asistencias]]</f>
        <v>16</v>
      </c>
      <c r="K10" s="4">
        <f t="shared" si="0"/>
        <v>0.35</v>
      </c>
      <c r="L10" s="4">
        <f t="shared" si="3"/>
        <v>0.45</v>
      </c>
      <c r="M10" s="4">
        <f t="shared" si="2"/>
        <v>0.8</v>
      </c>
      <c r="N10" s="2">
        <v>1</v>
      </c>
      <c r="O10" s="2">
        <v>1</v>
      </c>
      <c r="P10" s="2"/>
      <c r="Q10" s="10">
        <v>7.5</v>
      </c>
      <c r="R10" s="10">
        <v>9.25</v>
      </c>
      <c r="S10" s="10">
        <v>7</v>
      </c>
      <c r="T10" s="10">
        <v>9.25</v>
      </c>
      <c r="U10" s="10">
        <v>8.5</v>
      </c>
      <c r="V10" s="10">
        <v>7</v>
      </c>
      <c r="W10" s="10">
        <v>6.25</v>
      </c>
      <c r="X10" s="10">
        <v>9</v>
      </c>
      <c r="Y10" s="10">
        <v>7.5</v>
      </c>
      <c r="Z10" s="10">
        <v>5.75</v>
      </c>
      <c r="AA10" s="10">
        <v>8.25</v>
      </c>
      <c r="AB10" s="10">
        <v>7.75</v>
      </c>
      <c r="AC10" s="10">
        <v>8.75</v>
      </c>
      <c r="AD10" s="10">
        <v>7.75</v>
      </c>
      <c r="AE10" s="10">
        <v>9</v>
      </c>
      <c r="AF10" s="10">
        <v>8</v>
      </c>
      <c r="AG10" s="10">
        <v>8.75</v>
      </c>
      <c r="AH10" s="10">
        <v>7.75</v>
      </c>
      <c r="AI10" s="10">
        <f>+SUM(Tabla26[[#This Row],[Notas J3]:[Notas J20]])/COUNTIF(Tabla26[[#This Row],[Notas J3]:[Notas J20]],"&gt;0")</f>
        <v>7.9444444444444446</v>
      </c>
      <c r="AJ10" s="10" t="s">
        <v>15</v>
      </c>
    </row>
    <row r="11" spans="2:36" x14ac:dyDescent="0.35">
      <c r="B11" s="1" t="s">
        <v>31</v>
      </c>
      <c r="C11" s="2">
        <v>15</v>
      </c>
      <c r="D11" s="11">
        <f>+Tabla26[[#This Row],[Partidos jugados]]/$C$25</f>
        <v>0.75</v>
      </c>
      <c r="E11" s="2">
        <v>10</v>
      </c>
      <c r="F11" s="2">
        <v>2</v>
      </c>
      <c r="G11" s="2">
        <v>3</v>
      </c>
      <c r="H11" s="2">
        <v>2</v>
      </c>
      <c r="I11" s="2">
        <v>1</v>
      </c>
      <c r="J11" s="2">
        <f>+Tabla26[[#This Row],[Goles (encajados)]]+Tabla26[[#This Row],[Asistencias]]</f>
        <v>3</v>
      </c>
      <c r="K11" s="4">
        <f t="shared" si="0"/>
        <v>0.13333333333333333</v>
      </c>
      <c r="L11" s="4">
        <f t="shared" si="3"/>
        <v>6.6666666666666666E-2</v>
      </c>
      <c r="M11" s="4">
        <f t="shared" si="2"/>
        <v>0.2</v>
      </c>
      <c r="N11" s="2"/>
      <c r="O11" s="2"/>
      <c r="P11" s="2"/>
      <c r="Q11" s="10">
        <v>8</v>
      </c>
      <c r="R11" s="10">
        <v>6</v>
      </c>
      <c r="S11" s="10">
        <v>4.25</v>
      </c>
      <c r="T11" s="10">
        <v>5.5</v>
      </c>
      <c r="U11" s="10">
        <v>5.75</v>
      </c>
      <c r="V11" s="10"/>
      <c r="W11" s="10"/>
      <c r="X11" s="10">
        <v>7</v>
      </c>
      <c r="Y11" s="10"/>
      <c r="Z11" s="10">
        <v>5</v>
      </c>
      <c r="AA11" s="10">
        <v>8</v>
      </c>
      <c r="AB11" s="10">
        <v>6.25</v>
      </c>
      <c r="AC11" s="10">
        <v>8</v>
      </c>
      <c r="AD11" s="10">
        <v>5.75</v>
      </c>
      <c r="AE11" s="10">
        <v>7.5</v>
      </c>
      <c r="AF11" s="10">
        <v>6.25</v>
      </c>
      <c r="AG11" s="10"/>
      <c r="AH11" s="10">
        <v>6</v>
      </c>
      <c r="AI11" s="10">
        <f>+SUM(Tabla26[[#This Row],[Notas J3]:[Notas J20]])/COUNTIF(Tabla26[[#This Row],[Notas J3]:[Notas J20]],"&gt;0")</f>
        <v>6.375</v>
      </c>
      <c r="AJ11" s="10" t="s">
        <v>31</v>
      </c>
    </row>
    <row r="12" spans="2:36" x14ac:dyDescent="0.35">
      <c r="B12" s="1" t="s">
        <v>16</v>
      </c>
      <c r="C12" s="2">
        <v>5</v>
      </c>
      <c r="D12" s="11">
        <f>+Tabla26[[#This Row],[Partidos jugados]]/$C$25</f>
        <v>0.25</v>
      </c>
      <c r="E12" s="2">
        <v>3</v>
      </c>
      <c r="F12" s="2"/>
      <c r="G12" s="2">
        <v>2</v>
      </c>
      <c r="H12" s="3">
        <v>-11</v>
      </c>
      <c r="I12" s="2"/>
      <c r="J12" s="2">
        <f>+Tabla26[[#This Row],[Goles (encajados)]]+Tabla26[[#This Row],[Asistencias]]</f>
        <v>-11</v>
      </c>
      <c r="K12" s="4">
        <f t="shared" si="0"/>
        <v>-2.2000000000000002</v>
      </c>
      <c r="L12" s="4">
        <f t="shared" si="3"/>
        <v>0</v>
      </c>
      <c r="M12" s="4">
        <f t="shared" si="2"/>
        <v>-2.2000000000000002</v>
      </c>
      <c r="N12" s="2"/>
      <c r="O12" s="2"/>
      <c r="P12" s="2"/>
      <c r="Q12" s="10">
        <v>7.5</v>
      </c>
      <c r="R12" s="10"/>
      <c r="S12" s="10">
        <v>7</v>
      </c>
      <c r="T12" s="10"/>
      <c r="U12" s="10">
        <v>7</v>
      </c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>
        <f>+SUM(Tabla26[[#This Row],[Notas J3]:[Notas J20]])/COUNTIF(Tabla26[[#This Row],[Notas J3]:[Notas J20]],"&gt;0")</f>
        <v>7.166666666666667</v>
      </c>
      <c r="AJ12" s="10" t="s">
        <v>16</v>
      </c>
    </row>
    <row r="13" spans="2:36" x14ac:dyDescent="0.35">
      <c r="B13" s="1" t="s">
        <v>17</v>
      </c>
      <c r="C13" s="2">
        <v>15</v>
      </c>
      <c r="D13" s="11">
        <f>+Tabla26[[#This Row],[Partidos jugados]]/$C$25</f>
        <v>0.75</v>
      </c>
      <c r="E13" s="2">
        <v>10</v>
      </c>
      <c r="F13" s="2">
        <v>2</v>
      </c>
      <c r="G13" s="2">
        <v>3</v>
      </c>
      <c r="H13" s="2">
        <v>8</v>
      </c>
      <c r="I13" s="2">
        <v>4</v>
      </c>
      <c r="J13" s="2">
        <f>+Tabla26[[#This Row],[Goles (encajados)]]+Tabla26[[#This Row],[Asistencias]]</f>
        <v>12</v>
      </c>
      <c r="K13" s="4">
        <f t="shared" si="0"/>
        <v>0.53333333333333333</v>
      </c>
      <c r="L13" s="4">
        <f t="shared" si="3"/>
        <v>0.26666666666666666</v>
      </c>
      <c r="M13" s="4">
        <f t="shared" si="2"/>
        <v>0.8</v>
      </c>
      <c r="N13" s="2">
        <v>2</v>
      </c>
      <c r="O13" s="2">
        <v>1</v>
      </c>
      <c r="P13" s="2"/>
      <c r="Q13" s="10">
        <v>5.5</v>
      </c>
      <c r="R13" s="10"/>
      <c r="S13" s="10">
        <v>7.5</v>
      </c>
      <c r="T13" s="10">
        <v>8</v>
      </c>
      <c r="U13" s="10"/>
      <c r="V13" s="10">
        <v>7.5</v>
      </c>
      <c r="W13" s="10">
        <v>7.5</v>
      </c>
      <c r="X13" s="10"/>
      <c r="Y13" s="10">
        <v>8.75</v>
      </c>
      <c r="Z13" s="10">
        <v>6.25</v>
      </c>
      <c r="AA13" s="10">
        <v>9.25</v>
      </c>
      <c r="AB13" s="10">
        <v>8</v>
      </c>
      <c r="AC13" s="10">
        <v>9.75</v>
      </c>
      <c r="AD13" s="10">
        <v>4.5</v>
      </c>
      <c r="AE13" s="10">
        <v>7</v>
      </c>
      <c r="AF13" s="10"/>
      <c r="AG13" s="10"/>
      <c r="AH13" s="10">
        <v>6</v>
      </c>
      <c r="AI13" s="10">
        <f>+SUM(Tabla26[[#This Row],[Notas J3]:[Notas J20]])/COUNTIF(Tabla26[[#This Row],[Notas J3]:[Notas J20]],"&gt;0")</f>
        <v>7.3461538461538458</v>
      </c>
      <c r="AJ13" s="10" t="s">
        <v>17</v>
      </c>
    </row>
    <row r="14" spans="2:36" x14ac:dyDescent="0.35">
      <c r="B14" s="1" t="s">
        <v>18</v>
      </c>
      <c r="C14" s="2">
        <v>19</v>
      </c>
      <c r="D14" s="11">
        <f>+Tabla26[[#This Row],[Partidos jugados]]/$C$25</f>
        <v>0.95</v>
      </c>
      <c r="E14" s="2">
        <v>13</v>
      </c>
      <c r="F14" s="2">
        <v>2</v>
      </c>
      <c r="G14" s="2">
        <v>4</v>
      </c>
      <c r="H14" s="2">
        <v>3</v>
      </c>
      <c r="I14" s="2">
        <v>7</v>
      </c>
      <c r="J14" s="2">
        <f>+Tabla26[[#This Row],[Goles (encajados)]]+Tabla26[[#This Row],[Asistencias]]</f>
        <v>10</v>
      </c>
      <c r="K14" s="4">
        <f t="shared" si="0"/>
        <v>0.15789473684210525</v>
      </c>
      <c r="L14" s="4">
        <f t="shared" si="3"/>
        <v>0.36842105263157893</v>
      </c>
      <c r="M14" s="4">
        <f t="shared" si="2"/>
        <v>0.52631578947368418</v>
      </c>
      <c r="N14" s="2">
        <v>2</v>
      </c>
      <c r="O14" s="2">
        <v>3</v>
      </c>
      <c r="P14" s="2"/>
      <c r="Q14" s="10">
        <v>7.5</v>
      </c>
      <c r="R14" s="10">
        <v>7.5</v>
      </c>
      <c r="S14" s="10">
        <v>7</v>
      </c>
      <c r="T14" s="10">
        <v>9</v>
      </c>
      <c r="U14" s="10">
        <v>8.5</v>
      </c>
      <c r="V14" s="10">
        <v>7.75</v>
      </c>
      <c r="W14" s="10"/>
      <c r="X14" s="10">
        <v>8.5</v>
      </c>
      <c r="Y14" s="10">
        <v>8</v>
      </c>
      <c r="Z14" s="10">
        <v>6.75</v>
      </c>
      <c r="AA14" s="10">
        <v>7.25</v>
      </c>
      <c r="AB14" s="10">
        <v>6.75</v>
      </c>
      <c r="AC14" s="10">
        <v>8.25</v>
      </c>
      <c r="AD14" s="10">
        <v>7.5</v>
      </c>
      <c r="AE14" s="10">
        <v>7.75</v>
      </c>
      <c r="AF14" s="10">
        <v>8.75</v>
      </c>
      <c r="AG14" s="10">
        <v>9.25</v>
      </c>
      <c r="AH14" s="10">
        <v>8</v>
      </c>
      <c r="AI14" s="10">
        <f>+SUM(Tabla26[[#This Row],[Notas J3]:[Notas J20]])/COUNTIF(Tabla26[[#This Row],[Notas J3]:[Notas J20]],"&gt;0")</f>
        <v>7.882352941176471</v>
      </c>
      <c r="AJ14" s="10" t="s">
        <v>18</v>
      </c>
    </row>
    <row r="15" spans="2:36" x14ac:dyDescent="0.35">
      <c r="B15" s="1" t="s">
        <v>19</v>
      </c>
      <c r="C15" s="2">
        <v>13</v>
      </c>
      <c r="D15" s="11">
        <f>+Tabla26[[#This Row],[Partidos jugados]]/$C$25</f>
        <v>0.65</v>
      </c>
      <c r="E15" s="2">
        <v>9</v>
      </c>
      <c r="F15" s="2">
        <v>1</v>
      </c>
      <c r="G15" s="2">
        <v>3</v>
      </c>
      <c r="H15" s="2">
        <v>2</v>
      </c>
      <c r="I15" s="2">
        <v>3</v>
      </c>
      <c r="J15" s="2">
        <f>+Tabla26[[#This Row],[Goles (encajados)]]+Tabla26[[#This Row],[Asistencias]]</f>
        <v>5</v>
      </c>
      <c r="K15" s="4">
        <f t="shared" si="0"/>
        <v>0.15384615384615385</v>
      </c>
      <c r="L15" s="4">
        <f t="shared" si="3"/>
        <v>0.23076923076923078</v>
      </c>
      <c r="M15" s="4">
        <f t="shared" si="2"/>
        <v>0.38461538461538464</v>
      </c>
      <c r="N15" s="2"/>
      <c r="O15" s="2"/>
      <c r="P15" s="2"/>
      <c r="Q15" s="10"/>
      <c r="R15" s="10"/>
      <c r="S15" s="10">
        <v>6.75</v>
      </c>
      <c r="T15" s="10">
        <v>7.25</v>
      </c>
      <c r="U15" s="10">
        <v>8.25</v>
      </c>
      <c r="V15" s="10"/>
      <c r="W15" s="10">
        <v>6.5</v>
      </c>
      <c r="X15" s="10">
        <v>8</v>
      </c>
      <c r="Y15" s="10">
        <v>8.5</v>
      </c>
      <c r="Z15" s="10">
        <v>5.5</v>
      </c>
      <c r="AA15" s="10">
        <v>8.25</v>
      </c>
      <c r="AB15" s="10"/>
      <c r="AC15" s="10">
        <v>8.75</v>
      </c>
      <c r="AD15" s="10">
        <v>7.75</v>
      </c>
      <c r="AE15" s="10">
        <v>8</v>
      </c>
      <c r="AF15" s="10">
        <v>7.75</v>
      </c>
      <c r="AG15" s="10">
        <v>8.25</v>
      </c>
      <c r="AH15" s="10"/>
      <c r="AI15" s="10">
        <f>+SUM(Tabla26[[#This Row],[Notas J3]:[Notas J20]])/COUNTIF(Tabla26[[#This Row],[Notas J3]:[Notas J20]],"&gt;0")</f>
        <v>7.6538461538461542</v>
      </c>
      <c r="AJ15" s="10" t="s">
        <v>19</v>
      </c>
    </row>
    <row r="16" spans="2:36" x14ac:dyDescent="0.35">
      <c r="B16" s="1" t="s">
        <v>20</v>
      </c>
      <c r="C16" s="2">
        <v>13</v>
      </c>
      <c r="D16" s="11">
        <f>+Tabla26[[#This Row],[Partidos jugados]]/$C$25</f>
        <v>0.65</v>
      </c>
      <c r="E16" s="2">
        <v>9</v>
      </c>
      <c r="F16" s="2">
        <v>1</v>
      </c>
      <c r="G16" s="2">
        <v>3</v>
      </c>
      <c r="H16" s="2">
        <v>1</v>
      </c>
      <c r="I16" s="2">
        <v>5</v>
      </c>
      <c r="J16" s="2">
        <f>+Tabla26[[#This Row],[Goles (encajados)]]+Tabla26[[#This Row],[Asistencias]]</f>
        <v>6</v>
      </c>
      <c r="K16" s="4">
        <f t="shared" si="0"/>
        <v>7.6923076923076927E-2</v>
      </c>
      <c r="L16" s="4">
        <f t="shared" si="3"/>
        <v>0.38461538461538464</v>
      </c>
      <c r="M16" s="4">
        <f t="shared" si="2"/>
        <v>0.46153846153846156</v>
      </c>
      <c r="N16" s="2"/>
      <c r="O16" s="2">
        <v>3</v>
      </c>
      <c r="P16" s="2"/>
      <c r="Q16" s="10"/>
      <c r="R16" s="10"/>
      <c r="S16" s="10">
        <v>7.5</v>
      </c>
      <c r="T16" s="10">
        <v>7.25</v>
      </c>
      <c r="U16" s="10">
        <v>7.5</v>
      </c>
      <c r="V16" s="10"/>
      <c r="W16" s="10">
        <v>6.75</v>
      </c>
      <c r="X16" s="10">
        <v>9</v>
      </c>
      <c r="Y16" s="10">
        <v>7</v>
      </c>
      <c r="Z16" s="10">
        <v>6.5</v>
      </c>
      <c r="AA16" s="10"/>
      <c r="AB16" s="10"/>
      <c r="AC16" s="10">
        <v>8.5</v>
      </c>
      <c r="AD16" s="10">
        <v>6.5</v>
      </c>
      <c r="AE16" s="10">
        <v>7.25</v>
      </c>
      <c r="AF16" s="10">
        <v>8.25</v>
      </c>
      <c r="AG16" s="10">
        <v>8.75</v>
      </c>
      <c r="AH16" s="10">
        <v>7.5</v>
      </c>
      <c r="AI16" s="10">
        <f>+SUM(Tabla26[[#This Row],[Notas J3]:[Notas J20]])/COUNTIF(Tabla26[[#This Row],[Notas J3]:[Notas J20]],"&gt;0")</f>
        <v>7.5576923076923075</v>
      </c>
      <c r="AJ16" s="10" t="s">
        <v>20</v>
      </c>
    </row>
    <row r="17" spans="2:36" x14ac:dyDescent="0.35">
      <c r="B17" s="1" t="s">
        <v>21</v>
      </c>
      <c r="C17" s="2">
        <v>9</v>
      </c>
      <c r="D17" s="11">
        <f>+Tabla26[[#This Row],[Partidos jugados]]/$C$25</f>
        <v>0.45</v>
      </c>
      <c r="E17" s="2">
        <v>7</v>
      </c>
      <c r="F17" s="2"/>
      <c r="G17" s="2">
        <v>2</v>
      </c>
      <c r="H17" s="2">
        <v>2</v>
      </c>
      <c r="I17" s="2"/>
      <c r="J17" s="2">
        <f>+Tabla26[[#This Row],[Goles (encajados)]]+Tabla26[[#This Row],[Asistencias]]</f>
        <v>2</v>
      </c>
      <c r="K17" s="4">
        <f t="shared" si="0"/>
        <v>0.22222222222222221</v>
      </c>
      <c r="L17" s="4">
        <f t="shared" si="3"/>
        <v>0</v>
      </c>
      <c r="M17" s="4">
        <f t="shared" si="2"/>
        <v>0.22222222222222221</v>
      </c>
      <c r="N17" s="2"/>
      <c r="O17" s="2"/>
      <c r="P17" s="2"/>
      <c r="Q17" s="10">
        <v>7</v>
      </c>
      <c r="R17" s="10">
        <v>8</v>
      </c>
      <c r="S17" s="10">
        <v>7.5</v>
      </c>
      <c r="T17" s="10">
        <v>5.5</v>
      </c>
      <c r="U17" s="10"/>
      <c r="V17" s="10"/>
      <c r="W17" s="10"/>
      <c r="X17" s="10">
        <v>8</v>
      </c>
      <c r="Y17" s="10"/>
      <c r="Z17" s="10"/>
      <c r="AA17" s="10"/>
      <c r="AB17" s="10"/>
      <c r="AC17" s="10"/>
      <c r="AD17" s="10">
        <v>4.25</v>
      </c>
      <c r="AE17" s="10"/>
      <c r="AF17" s="10"/>
      <c r="AG17" s="10">
        <v>7.75</v>
      </c>
      <c r="AH17" s="10">
        <v>7</v>
      </c>
      <c r="AI17" s="10">
        <f>+SUM(Tabla26[[#This Row],[Notas J3]:[Notas J20]])/COUNTIF(Tabla26[[#This Row],[Notas J3]:[Notas J20]],"&gt;0")</f>
        <v>6.875</v>
      </c>
      <c r="AJ17" s="10" t="s">
        <v>21</v>
      </c>
    </row>
    <row r="18" spans="2:36" x14ac:dyDescent="0.35">
      <c r="B18" s="1" t="s">
        <v>22</v>
      </c>
      <c r="C18" s="2">
        <v>3</v>
      </c>
      <c r="D18" s="11">
        <f>+Tabla26[[#This Row],[Partidos jugados]]/$C$25</f>
        <v>0.15</v>
      </c>
      <c r="E18" s="2">
        <v>2</v>
      </c>
      <c r="F18" s="2"/>
      <c r="G18" s="2">
        <v>1</v>
      </c>
      <c r="H18" s="2">
        <v>1</v>
      </c>
      <c r="I18" s="2"/>
      <c r="J18" s="2">
        <f>+Tabla26[[#This Row],[Goles (encajados)]]+Tabla26[[#This Row],[Asistencias]]</f>
        <v>1</v>
      </c>
      <c r="K18" s="4">
        <f t="shared" si="0"/>
        <v>0.33333333333333331</v>
      </c>
      <c r="L18" s="4">
        <f t="shared" si="3"/>
        <v>0</v>
      </c>
      <c r="M18" s="4">
        <f t="shared" si="2"/>
        <v>0.33333333333333331</v>
      </c>
      <c r="N18" s="2"/>
      <c r="O18" s="2"/>
      <c r="P18" s="2"/>
      <c r="Q18" s="10"/>
      <c r="R18" s="10"/>
      <c r="S18" s="10">
        <v>8</v>
      </c>
      <c r="T18" s="10">
        <v>7</v>
      </c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>
        <f>+SUM(Tabla26[[#This Row],[Notas J3]:[Notas J20]])/COUNTIF(Tabla26[[#This Row],[Notas J3]:[Notas J20]],"&gt;0")</f>
        <v>7.5</v>
      </c>
      <c r="AJ18" s="10" t="s">
        <v>22</v>
      </c>
    </row>
    <row r="19" spans="2:36" x14ac:dyDescent="0.35">
      <c r="B19" s="1" t="s">
        <v>23</v>
      </c>
      <c r="C19" s="2">
        <v>18</v>
      </c>
      <c r="D19" s="11">
        <f>+Tabla26[[#This Row],[Partidos jugados]]/$C$25</f>
        <v>0.9</v>
      </c>
      <c r="E19" s="2">
        <v>14</v>
      </c>
      <c r="F19" s="2">
        <v>1</v>
      </c>
      <c r="G19" s="2">
        <v>3</v>
      </c>
      <c r="H19" s="2">
        <v>-25</v>
      </c>
      <c r="I19" s="2">
        <v>3</v>
      </c>
      <c r="J19" s="2">
        <f>+Tabla26[[#This Row],[Goles (encajados)]]+Tabla26[[#This Row],[Asistencias]]</f>
        <v>-22</v>
      </c>
      <c r="K19" s="4">
        <f t="shared" si="0"/>
        <v>-1.3888888888888888</v>
      </c>
      <c r="L19" s="4">
        <f t="shared" si="3"/>
        <v>0.16666666666666666</v>
      </c>
      <c r="M19" s="4">
        <f t="shared" si="2"/>
        <v>-1.2222222222222223</v>
      </c>
      <c r="N19" s="2">
        <v>3</v>
      </c>
      <c r="O19" s="2"/>
      <c r="P19" s="2"/>
      <c r="Q19" s="10">
        <v>5</v>
      </c>
      <c r="R19" s="10">
        <v>9.75</v>
      </c>
      <c r="S19" s="10">
        <v>7.5</v>
      </c>
      <c r="T19" s="10">
        <v>9</v>
      </c>
      <c r="U19" s="10">
        <v>7</v>
      </c>
      <c r="V19" s="10">
        <v>9</v>
      </c>
      <c r="W19" s="10">
        <v>8.5</v>
      </c>
      <c r="X19" s="10">
        <v>9</v>
      </c>
      <c r="Y19" s="10">
        <v>7.25</v>
      </c>
      <c r="Z19" s="10">
        <v>7</v>
      </c>
      <c r="AA19" s="10">
        <v>7.5</v>
      </c>
      <c r="AB19" s="10"/>
      <c r="AC19" s="10">
        <v>8.5</v>
      </c>
      <c r="AD19" s="10">
        <v>5.5</v>
      </c>
      <c r="AE19" s="10">
        <v>9.25</v>
      </c>
      <c r="AF19" s="10">
        <v>7.5</v>
      </c>
      <c r="AG19" s="10">
        <v>8.75</v>
      </c>
      <c r="AH19" s="10">
        <v>7</v>
      </c>
      <c r="AI19" s="10">
        <f>+SUM(Tabla26[[#This Row],[Notas J3]:[Notas J20]])/COUNTIF(Tabla26[[#This Row],[Notas J3]:[Notas J20]],"&gt;0")</f>
        <v>7.8235294117647056</v>
      </c>
      <c r="AJ19" s="10" t="s">
        <v>23</v>
      </c>
    </row>
    <row r="20" spans="2:36" x14ac:dyDescent="0.35">
      <c r="B20" s="1" t="s">
        <v>24</v>
      </c>
      <c r="C20" s="2">
        <v>17</v>
      </c>
      <c r="D20" s="11">
        <f>+Tabla26[[#This Row],[Partidos jugados]]/$C$25</f>
        <v>0.85</v>
      </c>
      <c r="E20" s="2">
        <v>11</v>
      </c>
      <c r="F20" s="2">
        <v>2</v>
      </c>
      <c r="G20" s="2">
        <v>4</v>
      </c>
      <c r="H20" s="2"/>
      <c r="I20" s="2">
        <v>4</v>
      </c>
      <c r="J20" s="2">
        <f>+Tabla26[[#This Row],[Goles (encajados)]]+Tabla26[[#This Row],[Asistencias]]</f>
        <v>4</v>
      </c>
      <c r="K20" s="4">
        <f t="shared" si="0"/>
        <v>0</v>
      </c>
      <c r="L20" s="4">
        <f t="shared" si="3"/>
        <v>0.23529411764705882</v>
      </c>
      <c r="M20" s="4">
        <f t="shared" si="2"/>
        <v>0.23529411764705882</v>
      </c>
      <c r="N20" s="2">
        <v>1</v>
      </c>
      <c r="O20" s="2">
        <v>7</v>
      </c>
      <c r="P20" s="2"/>
      <c r="Q20" s="10">
        <v>7</v>
      </c>
      <c r="R20" s="10">
        <v>7.5</v>
      </c>
      <c r="S20" s="10">
        <v>8</v>
      </c>
      <c r="T20" s="10"/>
      <c r="U20" s="10"/>
      <c r="V20" s="10">
        <v>7.5</v>
      </c>
      <c r="W20" s="10">
        <v>7</v>
      </c>
      <c r="X20" s="10">
        <v>8.5</v>
      </c>
      <c r="Y20" s="10">
        <v>6.75</v>
      </c>
      <c r="Z20" s="10">
        <v>6.5</v>
      </c>
      <c r="AA20" s="10">
        <v>8.25</v>
      </c>
      <c r="AB20" s="10">
        <v>7.75</v>
      </c>
      <c r="AC20" s="10">
        <v>8.25</v>
      </c>
      <c r="AD20" s="10">
        <v>7.25</v>
      </c>
      <c r="AE20" s="10"/>
      <c r="AF20" s="10">
        <v>8</v>
      </c>
      <c r="AG20" s="10">
        <v>8.5</v>
      </c>
      <c r="AH20" s="10">
        <v>7.75</v>
      </c>
      <c r="AI20" s="10">
        <f>+SUM(Tabla26[[#This Row],[Notas J3]:[Notas J20]])/COUNTIF(Tabla26[[#This Row],[Notas J3]:[Notas J20]],"&gt;0")</f>
        <v>7.6333333333333337</v>
      </c>
      <c r="AJ20" s="10" t="s">
        <v>24</v>
      </c>
    </row>
    <row r="21" spans="2:36" x14ac:dyDescent="0.35">
      <c r="B21" s="1" t="s">
        <v>25</v>
      </c>
      <c r="C21" s="2">
        <v>3</v>
      </c>
      <c r="D21" s="11">
        <f>+Tabla26[[#This Row],[Partidos jugados]]/$C$25</f>
        <v>0.15</v>
      </c>
      <c r="E21" s="2">
        <v>2</v>
      </c>
      <c r="F21" s="2">
        <v>1</v>
      </c>
      <c r="G21" s="2"/>
      <c r="H21" s="2">
        <v>1</v>
      </c>
      <c r="I21" s="2"/>
      <c r="J21" s="2">
        <f>+Tabla26[[#This Row],[Goles (encajados)]]+Tabla26[[#This Row],[Asistencias]]</f>
        <v>1</v>
      </c>
      <c r="K21" s="4">
        <f t="shared" si="0"/>
        <v>0.33333333333333331</v>
      </c>
      <c r="L21" s="4">
        <f t="shared" si="3"/>
        <v>0</v>
      </c>
      <c r="M21" s="4">
        <f t="shared" si="2"/>
        <v>0.33333333333333331</v>
      </c>
      <c r="N21" s="2"/>
      <c r="O21" s="2"/>
      <c r="P21" s="2"/>
      <c r="Q21" s="10"/>
      <c r="R21" s="10"/>
      <c r="S21" s="10"/>
      <c r="T21" s="10"/>
      <c r="U21" s="10"/>
      <c r="V21" s="10">
        <v>7.25</v>
      </c>
      <c r="W21" s="10"/>
      <c r="X21" s="10"/>
      <c r="Y21" s="10"/>
      <c r="Z21" s="10">
        <v>5.75</v>
      </c>
      <c r="AA21" s="10"/>
      <c r="AB21" s="10"/>
      <c r="AC21" s="10">
        <v>8</v>
      </c>
      <c r="AD21" s="10"/>
      <c r="AE21" s="10"/>
      <c r="AF21" s="10"/>
      <c r="AG21" s="10"/>
      <c r="AH21" s="10"/>
      <c r="AI21" s="10">
        <f>+SUM(Tabla26[[#This Row],[Notas J3]:[Notas J20]])/COUNTIF(Tabla26[[#This Row],[Notas J3]:[Notas J20]],"&gt;0")</f>
        <v>7</v>
      </c>
      <c r="AJ21" s="10" t="s">
        <v>25</v>
      </c>
    </row>
    <row r="22" spans="2:36" x14ac:dyDescent="0.35">
      <c r="B22" s="1" t="s">
        <v>76</v>
      </c>
      <c r="C22" s="2">
        <v>7</v>
      </c>
      <c r="D22" s="11">
        <f>+Tabla26[[#This Row],[Partidos jugados]]/$C$25</f>
        <v>0.35</v>
      </c>
      <c r="E22" s="2">
        <v>4</v>
      </c>
      <c r="F22" s="2">
        <v>2</v>
      </c>
      <c r="G22" s="2">
        <v>1</v>
      </c>
      <c r="H22" s="2">
        <v>8</v>
      </c>
      <c r="I22" s="2"/>
      <c r="J22" s="2">
        <f>+Tabla26[[#This Row],[Goles (encajados)]]+Tabla26[[#This Row],[Asistencias]]</f>
        <v>8</v>
      </c>
      <c r="K22" s="4">
        <f t="shared" si="0"/>
        <v>1.1428571428571428</v>
      </c>
      <c r="L22" s="4">
        <f t="shared" si="3"/>
        <v>0</v>
      </c>
      <c r="M22" s="4">
        <f t="shared" si="2"/>
        <v>1.1428571428571428</v>
      </c>
      <c r="N22" s="2">
        <v>2</v>
      </c>
      <c r="O22" s="2"/>
      <c r="P22" s="2"/>
      <c r="Q22" s="2"/>
      <c r="R22" s="10"/>
      <c r="S22" s="10"/>
      <c r="T22" s="10"/>
      <c r="U22" s="10"/>
      <c r="V22" s="10"/>
      <c r="W22" s="10">
        <v>8.75</v>
      </c>
      <c r="X22" s="10"/>
      <c r="Y22" s="10">
        <v>7.75</v>
      </c>
      <c r="Z22" s="10">
        <v>6.25</v>
      </c>
      <c r="AA22" s="10"/>
      <c r="AB22" s="10">
        <v>8.25</v>
      </c>
      <c r="AC22" s="10">
        <v>9</v>
      </c>
      <c r="AD22" s="10">
        <v>8.25</v>
      </c>
      <c r="AE22" s="10"/>
      <c r="AF22" s="10"/>
      <c r="AG22" s="10"/>
      <c r="AH22" s="10">
        <v>7.5</v>
      </c>
      <c r="AI22" s="10">
        <f>+SUM(Tabla26[[#This Row],[Notas J3]:[Notas J20]])/COUNTIF(Tabla26[[#This Row],[Notas J3]:[Notas J20]],"&gt;0")</f>
        <v>7.9642857142857144</v>
      </c>
      <c r="AJ22" s="10" t="s">
        <v>76</v>
      </c>
    </row>
    <row r="23" spans="2:36" x14ac:dyDescent="0.35">
      <c r="B23" s="1" t="s">
        <v>86</v>
      </c>
      <c r="C23" s="2">
        <v>0</v>
      </c>
      <c r="D23" s="17">
        <f>+Tabla26[[#This Row],[Partidos jugados]]/$C$25</f>
        <v>0</v>
      </c>
      <c r="E23" s="2"/>
      <c r="F23" s="2"/>
      <c r="G23" s="2"/>
      <c r="H23" s="2"/>
      <c r="I23" s="2"/>
      <c r="J23" s="2">
        <f>+Tabla26[[#This Row],[Goles (encajados)]]+Tabla26[[#This Row],[Asistencias]]</f>
        <v>0</v>
      </c>
      <c r="K23" s="4"/>
      <c r="L23" s="4"/>
      <c r="M23" s="4"/>
      <c r="N23" s="2"/>
      <c r="O23" s="2"/>
      <c r="P23" s="2"/>
      <c r="Q23" s="2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 t="s">
        <v>86</v>
      </c>
    </row>
    <row r="24" spans="2:36" x14ac:dyDescent="0.35">
      <c r="B24" s="1" t="s">
        <v>78</v>
      </c>
      <c r="C24" s="2">
        <v>1</v>
      </c>
      <c r="D24" s="11">
        <f>+Tabla26[[#This Row],[Partidos jugados]]/$C$25</f>
        <v>0.05</v>
      </c>
      <c r="E24" s="2"/>
      <c r="F24" s="2">
        <v>1</v>
      </c>
      <c r="G24" s="2"/>
      <c r="H24" s="2">
        <v>-2</v>
      </c>
      <c r="I24" s="2"/>
      <c r="J24" s="2">
        <f>+Tabla26[[#This Row],[Goles (encajados)]]+Tabla26[[#This Row],[Asistencias]]</f>
        <v>-2</v>
      </c>
      <c r="K24" s="4">
        <f t="shared" si="0"/>
        <v>-2</v>
      </c>
      <c r="L24" s="4">
        <f t="shared" si="3"/>
        <v>0</v>
      </c>
      <c r="M24" s="4">
        <f t="shared" si="2"/>
        <v>-2</v>
      </c>
      <c r="N24" s="2"/>
      <c r="O24" s="2"/>
      <c r="P24" s="2"/>
      <c r="Q24" s="2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>
        <v>8.25</v>
      </c>
      <c r="AC24" s="10"/>
      <c r="AD24" s="10"/>
      <c r="AE24" s="10"/>
      <c r="AF24" s="10"/>
      <c r="AG24" s="10"/>
      <c r="AH24" s="10"/>
      <c r="AI24" s="10">
        <f>+SUM(Tabla26[[#This Row],[Notas J3]:[Notas J20]])/COUNTIF(Tabla26[[#This Row],[Notas J3]:[Notas J20]],"&gt;0")</f>
        <v>8.25</v>
      </c>
      <c r="AJ24" s="10" t="s">
        <v>78</v>
      </c>
    </row>
    <row r="25" spans="2:36" x14ac:dyDescent="0.35">
      <c r="B25" s="5" t="s">
        <v>32</v>
      </c>
      <c r="C25" s="12">
        <f>+MAX(C4:C24)</f>
        <v>20</v>
      </c>
      <c r="D25" s="12"/>
      <c r="E25" s="12">
        <f>+MAX(E4:E24)</f>
        <v>14</v>
      </c>
      <c r="F25" s="12">
        <f>+MAX(F4:F24)</f>
        <v>2</v>
      </c>
      <c r="G25" s="12">
        <f>+MAX(G4:G24)</f>
        <v>4</v>
      </c>
      <c r="H25" s="12">
        <f>+SUM(H4:H11)+SUM(H13:H18)+SUM(H20:H22)</f>
        <v>90</v>
      </c>
      <c r="I25" s="12">
        <f>+SUM(I4:I22)</f>
        <v>73</v>
      </c>
      <c r="J25" s="12">
        <f>+Tabla26[[#This Row],[Goles (encajados)]]+Tabla26[[#This Row],[Asistencias]]</f>
        <v>163</v>
      </c>
      <c r="K25" s="13"/>
      <c r="L25" s="13"/>
      <c r="M25" s="13"/>
      <c r="N25" s="12"/>
      <c r="O25" s="12">
        <f>+SUM(O4:O21)</f>
        <v>27</v>
      </c>
      <c r="P25" s="12">
        <f>+SUM(P4:P21)</f>
        <v>1</v>
      </c>
      <c r="Q25" s="14">
        <f>+SUM(Q4:Q24)/COUNTIF(Q4:Q24,"&gt;0")</f>
        <v>7.4375</v>
      </c>
      <c r="R25" s="14">
        <f t="shared" ref="R25:AE25" si="4">+SUM(R4:R24)/COUNTIF(R4:R24,"&gt;0")</f>
        <v>8.15</v>
      </c>
      <c r="S25" s="14">
        <f t="shared" si="4"/>
        <v>7.0384615384615383</v>
      </c>
      <c r="T25" s="14">
        <f t="shared" si="4"/>
        <v>7.604166666666667</v>
      </c>
      <c r="U25" s="14">
        <f t="shared" si="4"/>
        <v>7.75</v>
      </c>
      <c r="V25" s="14">
        <f t="shared" si="4"/>
        <v>7.583333333333333</v>
      </c>
      <c r="W25" s="14">
        <f t="shared" si="4"/>
        <v>6.708333333333333</v>
      </c>
      <c r="X25" s="14">
        <f t="shared" si="4"/>
        <v>8.4791666666666661</v>
      </c>
      <c r="Y25" s="14">
        <f t="shared" si="4"/>
        <v>7.5625</v>
      </c>
      <c r="Z25" s="14">
        <f t="shared" si="4"/>
        <v>5.7678571428571432</v>
      </c>
      <c r="AA25" s="14">
        <f t="shared" si="4"/>
        <v>8.0625</v>
      </c>
      <c r="AB25" s="14">
        <f t="shared" si="4"/>
        <v>7.5625</v>
      </c>
      <c r="AC25" s="14">
        <f t="shared" si="4"/>
        <v>8.6166666666666671</v>
      </c>
      <c r="AD25" s="14">
        <f t="shared" si="4"/>
        <v>6.6833333333333336</v>
      </c>
      <c r="AE25" s="14">
        <f t="shared" si="4"/>
        <v>8.1363636363636367</v>
      </c>
      <c r="AF25" s="14">
        <v>6.75</v>
      </c>
      <c r="AG25" s="12">
        <v>9</v>
      </c>
      <c r="AH25" s="12">
        <v>6</v>
      </c>
      <c r="AI25" s="14"/>
      <c r="AJ25" s="15" t="s">
        <v>79</v>
      </c>
    </row>
    <row r="27" spans="2:36" x14ac:dyDescent="0.35">
      <c r="G27" s="16" t="s">
        <v>80</v>
      </c>
      <c r="H27" s="16">
        <v>3</v>
      </c>
    </row>
    <row r="28" spans="2:36" x14ac:dyDescent="0.35">
      <c r="D28" s="7"/>
    </row>
    <row r="29" spans="2:36" x14ac:dyDescent="0.35">
      <c r="B29" s="8" t="s">
        <v>33</v>
      </c>
      <c r="C29" s="6" t="s">
        <v>51</v>
      </c>
      <c r="D29" s="6"/>
    </row>
    <row r="30" spans="2:36" x14ac:dyDescent="0.35">
      <c r="B30" s="8" t="s">
        <v>34</v>
      </c>
      <c r="C30" s="6" t="s">
        <v>51</v>
      </c>
      <c r="D30" s="6"/>
    </row>
    <row r="31" spans="2:36" x14ac:dyDescent="0.35">
      <c r="B31" t="s">
        <v>50</v>
      </c>
      <c r="C31" s="7">
        <f>+H25+H19+H12+H24+H27</f>
        <v>55</v>
      </c>
      <c r="D31" s="7"/>
    </row>
  </sheetData>
  <mergeCells count="1">
    <mergeCell ref="O2:P2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12E8-C383-4018-97E2-F4D6593B4694}">
  <dimension ref="B2:Z31"/>
  <sheetViews>
    <sheetView zoomScale="57" zoomScaleNormal="57" workbookViewId="0">
      <selection activeCell="I11" sqref="I11"/>
    </sheetView>
  </sheetViews>
  <sheetFormatPr baseColWidth="10" defaultRowHeight="14.5" x14ac:dyDescent="0.35"/>
  <cols>
    <col min="2" max="2" width="15.453125" bestFit="1" customWidth="1"/>
    <col min="3" max="4" width="16.1796875" customWidth="1"/>
    <col min="5" max="5" width="11.453125" customWidth="1"/>
    <col min="6" max="6" width="13.36328125" customWidth="1"/>
    <col min="7" max="7" width="11.36328125" customWidth="1"/>
    <col min="8" max="9" width="17.453125" customWidth="1"/>
    <col min="10" max="11" width="12.1796875" customWidth="1"/>
    <col min="21" max="21" width="13.36328125" bestFit="1" customWidth="1"/>
    <col min="22" max="22" width="13" bestFit="1" customWidth="1"/>
    <col min="23" max="23" width="11.54296875" bestFit="1" customWidth="1"/>
    <col min="25" max="25" width="16.08984375" customWidth="1"/>
    <col min="26" max="26" width="12.453125" customWidth="1"/>
  </cols>
  <sheetData>
    <row r="2" spans="2:26" ht="15" thickBot="1" x14ac:dyDescent="0.4">
      <c r="P2" s="40" t="s">
        <v>26</v>
      </c>
      <c r="Q2" s="41"/>
    </row>
    <row r="3" spans="2:26" ht="15" thickTop="1" x14ac:dyDescent="0.35">
      <c r="B3" s="1" t="s">
        <v>0</v>
      </c>
      <c r="C3" s="1" t="s">
        <v>5</v>
      </c>
      <c r="D3" s="1" t="s">
        <v>74</v>
      </c>
      <c r="E3" s="1" t="s">
        <v>6</v>
      </c>
      <c r="F3" s="1" t="s">
        <v>7</v>
      </c>
      <c r="G3" s="1" t="s">
        <v>8</v>
      </c>
      <c r="H3" s="1" t="s">
        <v>91</v>
      </c>
      <c r="I3" s="1" t="s">
        <v>90</v>
      </c>
      <c r="J3" s="1" t="s">
        <v>1</v>
      </c>
      <c r="K3" s="1" t="s">
        <v>73</v>
      </c>
      <c r="L3" s="1" t="s">
        <v>2</v>
      </c>
      <c r="M3" s="1" t="s">
        <v>3</v>
      </c>
      <c r="N3" s="1" t="s">
        <v>4</v>
      </c>
      <c r="O3" s="1" t="s">
        <v>29</v>
      </c>
      <c r="P3" s="1" t="s">
        <v>27</v>
      </c>
      <c r="Q3" s="1" t="s">
        <v>28</v>
      </c>
      <c r="R3" s="1" t="s">
        <v>81</v>
      </c>
      <c r="S3" s="1" t="s">
        <v>82</v>
      </c>
      <c r="T3" s="1" t="s">
        <v>53</v>
      </c>
      <c r="U3" s="1" t="s">
        <v>83</v>
      </c>
      <c r="V3" s="1" t="s">
        <v>84</v>
      </c>
      <c r="W3" s="1" t="s">
        <v>85</v>
      </c>
      <c r="X3" s="1" t="s">
        <v>94</v>
      </c>
      <c r="Y3" s="1" t="s">
        <v>52</v>
      </c>
      <c r="Z3" s="1" t="s">
        <v>75</v>
      </c>
    </row>
    <row r="4" spans="2:26" x14ac:dyDescent="0.35">
      <c r="B4" s="1" t="s">
        <v>9</v>
      </c>
      <c r="C4" s="2">
        <v>5</v>
      </c>
      <c r="D4" s="11">
        <f>+Tabla268[[#This Row],[Partidos jugados]]/$C$25</f>
        <v>0.83333333333333337</v>
      </c>
      <c r="E4" s="2">
        <v>3</v>
      </c>
      <c r="F4" s="2">
        <v>1</v>
      </c>
      <c r="G4" s="2">
        <v>1</v>
      </c>
      <c r="H4" s="2"/>
      <c r="I4" s="2"/>
      <c r="J4" s="2">
        <v>1</v>
      </c>
      <c r="K4" s="2">
        <f>+Tabla268[[#This Row],[Goles ]]+Tabla268[[#This Row],[Asistencias]]</f>
        <v>1</v>
      </c>
      <c r="L4" s="4">
        <f t="shared" ref="L4:L23" si="0">+H4/C4</f>
        <v>0</v>
      </c>
      <c r="M4" s="4">
        <f t="shared" ref="M4:M6" si="1">+J4/C4</f>
        <v>0.2</v>
      </c>
      <c r="N4" s="4">
        <f>+(J4+H4)/C4</f>
        <v>0.2</v>
      </c>
      <c r="O4" s="2"/>
      <c r="P4" s="2"/>
      <c r="Q4" s="2"/>
      <c r="R4" s="10">
        <v>7.75</v>
      </c>
      <c r="S4" s="10">
        <v>7.25</v>
      </c>
      <c r="T4" s="10"/>
      <c r="U4" s="10">
        <v>8</v>
      </c>
      <c r="V4" s="10">
        <v>8.5</v>
      </c>
      <c r="W4" s="10">
        <v>7.75</v>
      </c>
      <c r="X4" s="10"/>
      <c r="Y4" s="10">
        <f>+SUM(Tabla268[[#This Row],[Notas J1]:[Notas 3 y 4]])/COUNTIF(Tabla268[[#This Row],[Notas J1]:[Notas 3 y 4]],"&gt;0")</f>
        <v>7.85</v>
      </c>
      <c r="Z4" s="10" t="s">
        <v>9</v>
      </c>
    </row>
    <row r="5" spans="2:26" x14ac:dyDescent="0.35">
      <c r="B5" s="1" t="s">
        <v>77</v>
      </c>
      <c r="C5" s="2">
        <v>4</v>
      </c>
      <c r="D5" s="11">
        <f>+Tabla268[[#This Row],[Partidos jugados]]/$C$25</f>
        <v>0.66666666666666663</v>
      </c>
      <c r="E5" s="2">
        <v>2</v>
      </c>
      <c r="F5" s="2">
        <v>1</v>
      </c>
      <c r="G5" s="2">
        <v>1</v>
      </c>
      <c r="H5" s="2">
        <v>1</v>
      </c>
      <c r="I5" s="2"/>
      <c r="J5" s="2">
        <v>2</v>
      </c>
      <c r="K5" s="2">
        <f>+Tabla268[[#This Row],[Goles ]]+Tabla268[[#This Row],[Asistencias]]</f>
        <v>3</v>
      </c>
      <c r="L5" s="4"/>
      <c r="M5" s="4"/>
      <c r="N5" s="4"/>
      <c r="O5" s="2"/>
      <c r="P5" s="2"/>
      <c r="Q5" s="2"/>
      <c r="R5" s="10"/>
      <c r="S5" s="10">
        <v>8.5</v>
      </c>
      <c r="T5" s="10">
        <v>5.5</v>
      </c>
      <c r="U5" s="10">
        <v>9.5</v>
      </c>
      <c r="V5" s="10">
        <v>9.25</v>
      </c>
      <c r="W5" s="10"/>
      <c r="X5" s="10"/>
      <c r="Y5" s="10">
        <f>+SUM(Tabla268[[#This Row],[Notas J1]:[Notas 3 y 4]])/COUNTIF(Tabla268[[#This Row],[Notas J1]:[Notas 3 y 4]],"&gt;0")</f>
        <v>8.1875</v>
      </c>
      <c r="Z5" s="10" t="s">
        <v>77</v>
      </c>
    </row>
    <row r="6" spans="2:26" x14ac:dyDescent="0.35">
      <c r="B6" s="1" t="s">
        <v>11</v>
      </c>
      <c r="C6" s="2">
        <v>6</v>
      </c>
      <c r="D6" s="11">
        <f>+Tabla268[[#This Row],[Partidos jugados]]/$C$25</f>
        <v>1</v>
      </c>
      <c r="E6" s="2">
        <v>3</v>
      </c>
      <c r="F6" s="2">
        <v>1</v>
      </c>
      <c r="G6" s="2">
        <v>2</v>
      </c>
      <c r="H6" s="2">
        <v>5</v>
      </c>
      <c r="I6" s="2"/>
      <c r="J6" s="2">
        <v>2</v>
      </c>
      <c r="K6" s="2">
        <f>+Tabla268[[#This Row],[Goles ]]+Tabla268[[#This Row],[Asistencias]]</f>
        <v>7</v>
      </c>
      <c r="L6" s="4">
        <f t="shared" si="0"/>
        <v>0.83333333333333337</v>
      </c>
      <c r="M6" s="4">
        <f t="shared" si="1"/>
        <v>0.33333333333333331</v>
      </c>
      <c r="N6" s="4">
        <f t="shared" ref="N6:N23" si="2">+(J6+H6)/C6</f>
        <v>1.1666666666666667</v>
      </c>
      <c r="O6" s="2">
        <v>1</v>
      </c>
      <c r="P6" s="2">
        <v>1</v>
      </c>
      <c r="Q6" s="2">
        <v>1</v>
      </c>
      <c r="R6" s="10">
        <v>4</v>
      </c>
      <c r="S6" s="10">
        <v>8</v>
      </c>
      <c r="T6" s="10">
        <v>6.75</v>
      </c>
      <c r="U6" s="10">
        <v>8.75</v>
      </c>
      <c r="V6" s="10">
        <v>9.5</v>
      </c>
      <c r="W6" s="10">
        <v>8</v>
      </c>
      <c r="X6" s="10"/>
      <c r="Y6" s="10">
        <f>+SUM(Tabla268[[#This Row],[Notas J1]:[Notas 3 y 4]])/COUNTIF(Tabla268[[#This Row],[Notas J1]:[Notas 3 y 4]],"&gt;0")</f>
        <v>7.5</v>
      </c>
      <c r="Z6" s="10" t="s">
        <v>11</v>
      </c>
    </row>
    <row r="7" spans="2:26" x14ac:dyDescent="0.35">
      <c r="B7" s="1" t="s">
        <v>12</v>
      </c>
      <c r="C7" s="2">
        <v>6</v>
      </c>
      <c r="D7" s="11">
        <f>+Tabla268[[#This Row],[Partidos jugados]]/$C$25</f>
        <v>1</v>
      </c>
      <c r="E7" s="2">
        <v>3</v>
      </c>
      <c r="F7" s="2">
        <v>1</v>
      </c>
      <c r="G7" s="2">
        <v>2</v>
      </c>
      <c r="H7" s="2">
        <v>3</v>
      </c>
      <c r="I7" s="2"/>
      <c r="J7" s="2">
        <v>2</v>
      </c>
      <c r="K7" s="2">
        <f>+Tabla268[[#This Row],[Goles ]]+Tabla268[[#This Row],[Asistencias]]</f>
        <v>5</v>
      </c>
      <c r="L7" s="4">
        <f t="shared" si="0"/>
        <v>0.5</v>
      </c>
      <c r="M7" s="4">
        <f>+J7/C7</f>
        <v>0.33333333333333331</v>
      </c>
      <c r="N7" s="4">
        <f t="shared" si="2"/>
        <v>0.83333333333333337</v>
      </c>
      <c r="O7" s="2">
        <v>1</v>
      </c>
      <c r="P7" s="2">
        <v>1</v>
      </c>
      <c r="Q7" s="2"/>
      <c r="R7" s="10">
        <v>9.75</v>
      </c>
      <c r="S7" s="10">
        <v>8</v>
      </c>
      <c r="T7" s="10">
        <v>6</v>
      </c>
      <c r="U7" s="10">
        <v>9.25</v>
      </c>
      <c r="V7" s="10">
        <v>8.25</v>
      </c>
      <c r="W7" s="10">
        <v>8.75</v>
      </c>
      <c r="X7" s="10"/>
      <c r="Y7" s="10">
        <f>+SUM(Tabla268[[#This Row],[Notas J1]:[Notas 3 y 4]])/COUNTIF(Tabla268[[#This Row],[Notas J1]:[Notas 3 y 4]],"&gt;0")</f>
        <v>8.3333333333333339</v>
      </c>
      <c r="Z7" s="10" t="s">
        <v>12</v>
      </c>
    </row>
    <row r="8" spans="2:26" x14ac:dyDescent="0.35">
      <c r="B8" s="1" t="s">
        <v>13</v>
      </c>
      <c r="C8" s="2">
        <v>4</v>
      </c>
      <c r="D8" s="11">
        <f>+Tabla268[[#This Row],[Partidos jugados]]/$C$25</f>
        <v>0.66666666666666663</v>
      </c>
      <c r="E8" s="2">
        <v>3</v>
      </c>
      <c r="F8" s="2"/>
      <c r="G8" s="2">
        <v>1</v>
      </c>
      <c r="H8" s="2"/>
      <c r="I8" s="2"/>
      <c r="J8" s="2"/>
      <c r="K8" s="2">
        <f>+Tabla268[[#This Row],[Goles ]]+Tabla268[[#This Row],[Asistencias]]</f>
        <v>0</v>
      </c>
      <c r="L8" s="4">
        <f t="shared" si="0"/>
        <v>0</v>
      </c>
      <c r="M8" s="4">
        <f t="shared" ref="M8:M23" si="3">+J8/C8</f>
        <v>0</v>
      </c>
      <c r="N8" s="4">
        <f t="shared" si="2"/>
        <v>0</v>
      </c>
      <c r="O8" s="2"/>
      <c r="P8" s="2">
        <v>1</v>
      </c>
      <c r="Q8" s="2"/>
      <c r="R8" s="10">
        <v>8</v>
      </c>
      <c r="S8" s="10"/>
      <c r="T8" s="10"/>
      <c r="U8" s="10">
        <v>8.25</v>
      </c>
      <c r="V8" s="10">
        <v>9</v>
      </c>
      <c r="W8" s="10">
        <v>7.75</v>
      </c>
      <c r="X8" s="10"/>
      <c r="Y8" s="10">
        <f>+SUM(Tabla268[[#This Row],[Notas J1]:[Notas 3 y 4]])/COUNTIF(Tabla268[[#This Row],[Notas J1]:[Notas 3 y 4]],"&gt;0")</f>
        <v>8.25</v>
      </c>
      <c r="Z8" s="10" t="s">
        <v>13</v>
      </c>
    </row>
    <row r="9" spans="2:26" x14ac:dyDescent="0.35">
      <c r="B9" s="1" t="s">
        <v>14</v>
      </c>
      <c r="C9" s="2">
        <v>5</v>
      </c>
      <c r="D9" s="11">
        <f>+Tabla268[[#This Row],[Partidos jugados]]/$C$25</f>
        <v>0.83333333333333337</v>
      </c>
      <c r="E9" s="2">
        <v>3</v>
      </c>
      <c r="F9" s="2">
        <v>1</v>
      </c>
      <c r="G9" s="2">
        <v>1</v>
      </c>
      <c r="H9" s="2">
        <v>4</v>
      </c>
      <c r="I9" s="2"/>
      <c r="J9" s="2">
        <v>2</v>
      </c>
      <c r="K9" s="2">
        <f>+Tabla268[[#This Row],[Goles ]]+Tabla268[[#This Row],[Asistencias]]</f>
        <v>6</v>
      </c>
      <c r="L9" s="4">
        <f t="shared" si="0"/>
        <v>0.8</v>
      </c>
      <c r="M9" s="4">
        <f t="shared" si="3"/>
        <v>0.4</v>
      </c>
      <c r="N9" s="4">
        <f t="shared" si="2"/>
        <v>1.2</v>
      </c>
      <c r="O9" s="2"/>
      <c r="P9" s="2">
        <v>1</v>
      </c>
      <c r="Q9" s="2"/>
      <c r="R9" s="10">
        <v>7</v>
      </c>
      <c r="S9" s="10">
        <v>9.25</v>
      </c>
      <c r="T9" s="10"/>
      <c r="U9" s="10">
        <v>9</v>
      </c>
      <c r="V9" s="10">
        <v>8</v>
      </c>
      <c r="W9" s="10">
        <v>8.5</v>
      </c>
      <c r="X9" s="10"/>
      <c r="Y9" s="10">
        <f>+SUM(Tabla268[[#This Row],[Notas J1]:[Notas 3 y 4]])/COUNTIF(Tabla268[[#This Row],[Notas J1]:[Notas 3 y 4]],"&gt;0")</f>
        <v>8.35</v>
      </c>
      <c r="Z9" s="10" t="s">
        <v>14</v>
      </c>
    </row>
    <row r="10" spans="2:26" x14ac:dyDescent="0.35">
      <c r="B10" s="1" t="s">
        <v>15</v>
      </c>
      <c r="C10" s="2">
        <v>6</v>
      </c>
      <c r="D10" s="11">
        <f>+Tabla268[[#This Row],[Partidos jugados]]/$C$25</f>
        <v>1</v>
      </c>
      <c r="E10" s="2">
        <v>3</v>
      </c>
      <c r="F10" s="2">
        <v>1</v>
      </c>
      <c r="G10" s="2">
        <v>2</v>
      </c>
      <c r="H10" s="2">
        <v>1</v>
      </c>
      <c r="I10" s="2"/>
      <c r="J10" s="2">
        <v>3</v>
      </c>
      <c r="K10" s="2">
        <f>+Tabla268[[#This Row],[Goles ]]+Tabla268[[#This Row],[Asistencias]]</f>
        <v>4</v>
      </c>
      <c r="L10" s="4">
        <f t="shared" si="0"/>
        <v>0.16666666666666666</v>
      </c>
      <c r="M10" s="4">
        <f t="shared" si="3"/>
        <v>0.5</v>
      </c>
      <c r="N10" s="4">
        <f t="shared" si="2"/>
        <v>0.66666666666666663</v>
      </c>
      <c r="O10" s="2"/>
      <c r="P10" s="2">
        <v>2</v>
      </c>
      <c r="Q10" s="2"/>
      <c r="R10" s="10">
        <v>9</v>
      </c>
      <c r="S10" s="10">
        <v>8.75</v>
      </c>
      <c r="T10" s="10">
        <v>6.5</v>
      </c>
      <c r="U10" s="10">
        <v>9.75</v>
      </c>
      <c r="V10" s="10">
        <v>9</v>
      </c>
      <c r="W10" s="10">
        <v>9</v>
      </c>
      <c r="X10" s="10"/>
      <c r="Y10" s="10">
        <f>+SUM(Tabla268[[#This Row],[Notas J1]:[Notas 3 y 4]])/COUNTIF(Tabla268[[#This Row],[Notas J1]:[Notas 3 y 4]],"&gt;0")</f>
        <v>8.6666666666666661</v>
      </c>
      <c r="Z10" s="10" t="s">
        <v>15</v>
      </c>
    </row>
    <row r="11" spans="2:26" x14ac:dyDescent="0.35">
      <c r="B11" s="1" t="s">
        <v>31</v>
      </c>
      <c r="C11" s="2">
        <v>5</v>
      </c>
      <c r="D11" s="11">
        <f>+Tabla268[[#This Row],[Partidos jugados]]/$C$25</f>
        <v>0.83333333333333337</v>
      </c>
      <c r="E11" s="2">
        <v>2</v>
      </c>
      <c r="F11" s="2">
        <v>1</v>
      </c>
      <c r="G11" s="2">
        <v>2</v>
      </c>
      <c r="H11" s="2">
        <v>2</v>
      </c>
      <c r="I11" s="2"/>
      <c r="J11" s="2"/>
      <c r="K11" s="2">
        <f>+Tabla268[[#This Row],[Goles ]]+Tabla268[[#This Row],[Asistencias]]</f>
        <v>2</v>
      </c>
      <c r="L11" s="4">
        <f t="shared" si="0"/>
        <v>0.4</v>
      </c>
      <c r="M11" s="4">
        <f t="shared" si="3"/>
        <v>0</v>
      </c>
      <c r="N11" s="4">
        <f t="shared" si="2"/>
        <v>0.4</v>
      </c>
      <c r="O11" s="2"/>
      <c r="P11" s="2"/>
      <c r="Q11" s="2"/>
      <c r="R11" s="10">
        <v>7.5</v>
      </c>
      <c r="S11" s="10">
        <v>6.5</v>
      </c>
      <c r="T11" s="10" t="s">
        <v>89</v>
      </c>
      <c r="U11" s="10"/>
      <c r="V11" s="10">
        <v>9</v>
      </c>
      <c r="W11" s="10" t="s">
        <v>93</v>
      </c>
      <c r="X11" s="10"/>
      <c r="Y11" s="10">
        <f>+SUM(Tabla268[[#This Row],[Notas J1]:[Notas 3 y 4]])/COUNTIF(Tabla268[[#This Row],[Notas J1]:[Notas 3 y 4]],"&gt;0")</f>
        <v>7.666666666666667</v>
      </c>
      <c r="Z11" s="10" t="s">
        <v>31</v>
      </c>
    </row>
    <row r="12" spans="2:26" x14ac:dyDescent="0.35">
      <c r="B12" s="1" t="s">
        <v>16</v>
      </c>
      <c r="C12" s="2"/>
      <c r="D12" s="11">
        <f>+Tabla268[[#This Row],[Partidos jugados]]/$C$25</f>
        <v>0</v>
      </c>
      <c r="E12" s="2"/>
      <c r="F12" s="2"/>
      <c r="G12" s="2"/>
      <c r="H12" s="3"/>
      <c r="I12" s="3"/>
      <c r="J12" s="2"/>
      <c r="K12" s="2">
        <f>+Tabla268[[#This Row],[Goles ]]+Tabla268[[#This Row],[Asistencias]]</f>
        <v>0</v>
      </c>
      <c r="L12" s="4"/>
      <c r="M12" s="4"/>
      <c r="N12" s="4"/>
      <c r="O12" s="2"/>
      <c r="P12" s="2"/>
      <c r="Q12" s="2"/>
      <c r="R12" s="10"/>
      <c r="S12" s="10"/>
      <c r="T12" s="10"/>
      <c r="U12" s="10"/>
      <c r="V12" s="10"/>
      <c r="W12" s="10"/>
      <c r="X12" s="10"/>
      <c r="Y12" s="10"/>
      <c r="Z12" s="10" t="s">
        <v>16</v>
      </c>
    </row>
    <row r="13" spans="2:26" x14ac:dyDescent="0.35">
      <c r="B13" s="1" t="s">
        <v>17</v>
      </c>
      <c r="C13" s="2">
        <v>1</v>
      </c>
      <c r="D13" s="11">
        <f>+Tabla268[[#This Row],[Partidos jugados]]/$C$25</f>
        <v>0.16666666666666666</v>
      </c>
      <c r="E13" s="2"/>
      <c r="F13" s="2"/>
      <c r="G13" s="2">
        <v>1</v>
      </c>
      <c r="H13" s="2"/>
      <c r="I13" s="2"/>
      <c r="J13" s="2"/>
      <c r="K13" s="2">
        <f>+Tabla268[[#This Row],[Goles ]]+Tabla268[[#This Row],[Asistencias]]</f>
        <v>0</v>
      </c>
      <c r="L13" s="4"/>
      <c r="M13" s="4"/>
      <c r="N13" s="4"/>
      <c r="O13" s="2"/>
      <c r="P13" s="2"/>
      <c r="Q13" s="2"/>
      <c r="R13" s="10"/>
      <c r="S13" s="10"/>
      <c r="T13" s="10"/>
      <c r="U13" s="10"/>
      <c r="V13" s="10"/>
      <c r="W13" s="10">
        <v>7.75</v>
      </c>
      <c r="X13" s="10"/>
      <c r="Y13" s="10"/>
      <c r="Z13" s="10" t="s">
        <v>17</v>
      </c>
    </row>
    <row r="14" spans="2:26" x14ac:dyDescent="0.35">
      <c r="B14" s="1" t="s">
        <v>18</v>
      </c>
      <c r="C14" s="2">
        <v>6</v>
      </c>
      <c r="D14" s="11">
        <f>+Tabla268[[#This Row],[Partidos jugados]]/$C$25</f>
        <v>1</v>
      </c>
      <c r="E14" s="2">
        <v>3</v>
      </c>
      <c r="F14" s="2">
        <v>1</v>
      </c>
      <c r="G14" s="2">
        <v>2</v>
      </c>
      <c r="H14" s="2"/>
      <c r="I14" s="2"/>
      <c r="J14" s="2"/>
      <c r="K14" s="2">
        <f>+Tabla268[[#This Row],[Goles ]]+Tabla268[[#This Row],[Asistencias]]</f>
        <v>0</v>
      </c>
      <c r="L14" s="4">
        <f t="shared" si="0"/>
        <v>0</v>
      </c>
      <c r="M14" s="4">
        <f t="shared" si="3"/>
        <v>0</v>
      </c>
      <c r="N14" s="4">
        <f t="shared" si="2"/>
        <v>0</v>
      </c>
      <c r="O14" s="2">
        <v>1</v>
      </c>
      <c r="P14" s="2">
        <v>1</v>
      </c>
      <c r="Q14" s="2"/>
      <c r="R14" s="10">
        <v>7.5</v>
      </c>
      <c r="S14" s="10">
        <v>8.5</v>
      </c>
      <c r="T14" s="10">
        <v>7</v>
      </c>
      <c r="U14" s="10">
        <v>9</v>
      </c>
      <c r="V14" s="10">
        <v>8.5</v>
      </c>
      <c r="W14" s="10">
        <v>7.5</v>
      </c>
      <c r="X14" s="10"/>
      <c r="Y14" s="10">
        <f>+SUM(Tabla268[[#This Row],[Notas J1]:[Notas 3 y 4]])/COUNTIF(Tabla268[[#This Row],[Notas J1]:[Notas 3 y 4]],"&gt;0")</f>
        <v>8</v>
      </c>
      <c r="Z14" s="10" t="s">
        <v>18</v>
      </c>
    </row>
    <row r="15" spans="2:26" x14ac:dyDescent="0.35">
      <c r="B15" s="1" t="s">
        <v>19</v>
      </c>
      <c r="C15" s="2">
        <v>1</v>
      </c>
      <c r="D15" s="11">
        <f>+Tabla268[[#This Row],[Partidos jugados]]/$C$25</f>
        <v>0.16666666666666666</v>
      </c>
      <c r="E15" s="2"/>
      <c r="F15" s="2">
        <v>1</v>
      </c>
      <c r="G15" s="2"/>
      <c r="H15" s="2"/>
      <c r="I15" s="2"/>
      <c r="J15" s="2"/>
      <c r="K15" s="2">
        <f>+Tabla268[[#This Row],[Goles ]]+Tabla268[[#This Row],[Asistencias]]</f>
        <v>0</v>
      </c>
      <c r="L15" s="4"/>
      <c r="M15" s="4"/>
      <c r="N15" s="4"/>
      <c r="O15" s="2"/>
      <c r="P15" s="2"/>
      <c r="Q15" s="2"/>
      <c r="R15" s="10"/>
      <c r="S15" s="10">
        <v>7.25</v>
      </c>
      <c r="T15" s="10"/>
      <c r="U15" s="10"/>
      <c r="V15" s="10"/>
      <c r="W15" s="10"/>
      <c r="X15" s="10"/>
      <c r="Y15" s="10">
        <f>+SUM(Tabla268[[#This Row],[Notas J1]:[Notas 3 y 4]])/COUNTIF(Tabla268[[#This Row],[Notas J1]:[Notas 3 y 4]],"&gt;0")</f>
        <v>7.25</v>
      </c>
      <c r="Z15" s="10" t="s">
        <v>19</v>
      </c>
    </row>
    <row r="16" spans="2:26" x14ac:dyDescent="0.35">
      <c r="B16" s="1" t="s">
        <v>20</v>
      </c>
      <c r="C16" s="2">
        <v>1</v>
      </c>
      <c r="D16" s="11">
        <f>+Tabla268[[#This Row],[Partidos jugados]]/$C$25</f>
        <v>0.16666666666666666</v>
      </c>
      <c r="E16" s="2"/>
      <c r="F16" s="2">
        <v>1</v>
      </c>
      <c r="G16" s="2"/>
      <c r="H16" s="2"/>
      <c r="I16" s="2"/>
      <c r="J16" s="2"/>
      <c r="K16" s="2">
        <f>+Tabla268[[#This Row],[Goles ]]+Tabla268[[#This Row],[Asistencias]]</f>
        <v>0</v>
      </c>
      <c r="L16" s="4"/>
      <c r="M16" s="4"/>
      <c r="N16" s="4"/>
      <c r="O16" s="2"/>
      <c r="P16" s="2"/>
      <c r="Q16" s="2"/>
      <c r="R16" s="10"/>
      <c r="S16" s="10">
        <v>8</v>
      </c>
      <c r="T16" s="10"/>
      <c r="U16" s="10"/>
      <c r="V16" s="10"/>
      <c r="W16" s="10"/>
      <c r="X16" s="10"/>
      <c r="Y16" s="10">
        <f>+SUM(Tabla268[[#This Row],[Notas J1]:[Notas 3 y 4]])/COUNTIF(Tabla268[[#This Row],[Notas J1]:[Notas 3 y 4]],"&gt;0")</f>
        <v>8</v>
      </c>
      <c r="Z16" s="10" t="s">
        <v>20</v>
      </c>
    </row>
    <row r="17" spans="2:26" x14ac:dyDescent="0.35">
      <c r="B17" s="1" t="s">
        <v>21</v>
      </c>
      <c r="C17" s="2"/>
      <c r="D17" s="11">
        <f>+Tabla268[[#This Row],[Partidos jugados]]/$C$25</f>
        <v>0</v>
      </c>
      <c r="E17" s="2"/>
      <c r="F17" s="2"/>
      <c r="G17" s="2"/>
      <c r="H17" s="2"/>
      <c r="I17" s="2"/>
      <c r="J17" s="2"/>
      <c r="K17" s="2">
        <f>+Tabla268[[#This Row],[Goles ]]+Tabla268[[#This Row],[Asistencias]]</f>
        <v>0</v>
      </c>
      <c r="L17" s="4"/>
      <c r="M17" s="4"/>
      <c r="N17" s="4"/>
      <c r="O17" s="2"/>
      <c r="P17" s="2"/>
      <c r="Q17" s="2"/>
      <c r="R17" s="10"/>
      <c r="S17" s="10"/>
      <c r="T17" s="10"/>
      <c r="U17" s="10"/>
      <c r="V17" s="10"/>
      <c r="W17" s="10"/>
      <c r="X17" s="10"/>
      <c r="Y17" s="10"/>
      <c r="Z17" s="10" t="s">
        <v>21</v>
      </c>
    </row>
    <row r="18" spans="2:26" x14ac:dyDescent="0.35">
      <c r="B18" s="1" t="s">
        <v>22</v>
      </c>
      <c r="C18" s="2"/>
      <c r="D18" s="11">
        <f>+Tabla268[[#This Row],[Partidos jugados]]/$C$25</f>
        <v>0</v>
      </c>
      <c r="E18" s="2"/>
      <c r="F18" s="2"/>
      <c r="G18" s="2"/>
      <c r="H18" s="2"/>
      <c r="I18" s="2"/>
      <c r="J18" s="2"/>
      <c r="K18" s="2">
        <f>+Tabla268[[#This Row],[Goles ]]+Tabla268[[#This Row],[Asistencias]]</f>
        <v>0</v>
      </c>
      <c r="L18" s="4"/>
      <c r="M18" s="4"/>
      <c r="N18" s="4"/>
      <c r="O18" s="2"/>
      <c r="P18" s="2"/>
      <c r="Q18" s="2"/>
      <c r="R18" s="10"/>
      <c r="S18" s="10"/>
      <c r="T18" s="10"/>
      <c r="U18" s="10"/>
      <c r="V18" s="10"/>
      <c r="W18" s="10"/>
      <c r="X18" s="10"/>
      <c r="Y18" s="10"/>
      <c r="Z18" s="10" t="s">
        <v>22</v>
      </c>
    </row>
    <row r="19" spans="2:26" ht="18.5" x14ac:dyDescent="0.35">
      <c r="B19" s="1" t="s">
        <v>23</v>
      </c>
      <c r="C19" s="2">
        <v>6</v>
      </c>
      <c r="D19" s="11">
        <f>+Tabla268[[#This Row],[Partidos jugados]]/$C$25</f>
        <v>1</v>
      </c>
      <c r="E19" s="2">
        <v>3</v>
      </c>
      <c r="F19" s="2">
        <v>1</v>
      </c>
      <c r="G19" s="2">
        <v>2</v>
      </c>
      <c r="H19" s="2">
        <v>1</v>
      </c>
      <c r="I19" s="2">
        <v>-14</v>
      </c>
      <c r="J19" s="2"/>
      <c r="K19" s="2">
        <f>+Tabla268[[#This Row],[Goles ]]+Tabla268[[#This Row],[Asistencias]]</f>
        <v>1</v>
      </c>
      <c r="L19" s="4">
        <f>+I19/C19</f>
        <v>-2.3333333333333335</v>
      </c>
      <c r="M19" s="4">
        <f t="shared" si="3"/>
        <v>0</v>
      </c>
      <c r="N19" s="4">
        <f>+(J19+I19)/C19</f>
        <v>-2.3333333333333335</v>
      </c>
      <c r="O19" s="2">
        <v>3</v>
      </c>
      <c r="P19" s="2"/>
      <c r="Q19" s="2"/>
      <c r="R19" s="10">
        <v>9</v>
      </c>
      <c r="S19" s="10">
        <v>9.5</v>
      </c>
      <c r="T19" s="10">
        <v>6.5</v>
      </c>
      <c r="U19" s="21">
        <v>10</v>
      </c>
      <c r="V19" s="10">
        <v>9.25</v>
      </c>
      <c r="W19" s="10">
        <v>9</v>
      </c>
      <c r="X19" s="10"/>
      <c r="Y19" s="10">
        <f>+SUM(Tabla268[[#This Row],[Notas J1]:[Notas 3 y 4]])/COUNTIF(Tabla268[[#This Row],[Notas J1]:[Notas 3 y 4]],"&gt;0")</f>
        <v>8.875</v>
      </c>
      <c r="Z19" s="10" t="s">
        <v>23</v>
      </c>
    </row>
    <row r="20" spans="2:26" x14ac:dyDescent="0.35">
      <c r="B20" s="1" t="s">
        <v>24</v>
      </c>
      <c r="C20" s="2">
        <v>5</v>
      </c>
      <c r="D20" s="11">
        <f>+Tabla268[[#This Row],[Partidos jugados]]/$C$25</f>
        <v>0.83333333333333337</v>
      </c>
      <c r="E20" s="2">
        <v>3</v>
      </c>
      <c r="F20" s="2">
        <v>1</v>
      </c>
      <c r="G20" s="2">
        <v>1</v>
      </c>
      <c r="H20" s="2">
        <v>1</v>
      </c>
      <c r="I20" s="2"/>
      <c r="J20" s="2">
        <v>1</v>
      </c>
      <c r="K20" s="2">
        <f>+Tabla268[[#This Row],[Goles ]]+Tabla268[[#This Row],[Asistencias]]</f>
        <v>2</v>
      </c>
      <c r="L20" s="4">
        <f t="shared" si="0"/>
        <v>0.2</v>
      </c>
      <c r="M20" s="4">
        <f t="shared" si="3"/>
        <v>0.2</v>
      </c>
      <c r="N20" s="4">
        <f t="shared" si="2"/>
        <v>0.4</v>
      </c>
      <c r="O20" s="2"/>
      <c r="P20" s="2">
        <v>1</v>
      </c>
      <c r="Q20" s="2"/>
      <c r="R20" s="10">
        <v>9.25</v>
      </c>
      <c r="S20" s="10">
        <v>8.25</v>
      </c>
      <c r="T20" s="10">
        <v>6.5</v>
      </c>
      <c r="U20" s="10">
        <v>9.5</v>
      </c>
      <c r="V20" s="10">
        <v>9.25</v>
      </c>
      <c r="W20" s="10"/>
      <c r="X20" s="10"/>
      <c r="Y20" s="10">
        <f>+SUM(Tabla268[[#This Row],[Notas J1]:[Notas 3 y 4]])/COUNTIF(Tabla268[[#This Row],[Notas J1]:[Notas 3 y 4]],"&gt;0")</f>
        <v>8.5500000000000007</v>
      </c>
      <c r="Z20" s="10" t="s">
        <v>24</v>
      </c>
    </row>
    <row r="21" spans="2:26" x14ac:dyDescent="0.35">
      <c r="B21" s="1" t="s">
        <v>25</v>
      </c>
      <c r="C21" s="2"/>
      <c r="D21" s="11">
        <f>+Tabla268[[#This Row],[Partidos jugados]]/$C$25</f>
        <v>0</v>
      </c>
      <c r="E21" s="2"/>
      <c r="F21" s="2"/>
      <c r="G21" s="2"/>
      <c r="H21" s="2"/>
      <c r="I21" s="2"/>
      <c r="J21" s="2"/>
      <c r="K21" s="2">
        <f>+Tabla268[[#This Row],[Goles ]]+Tabla268[[#This Row],[Asistencias]]</f>
        <v>0</v>
      </c>
      <c r="L21" s="4"/>
      <c r="M21" s="4"/>
      <c r="N21" s="4"/>
      <c r="O21" s="2"/>
      <c r="P21" s="2"/>
      <c r="Q21" s="2"/>
      <c r="R21" s="10"/>
      <c r="S21" s="10"/>
      <c r="T21" s="10"/>
      <c r="U21" s="10"/>
      <c r="V21" s="10"/>
      <c r="W21" s="10"/>
      <c r="X21" s="10"/>
      <c r="Y21" s="10"/>
      <c r="Z21" s="10" t="s">
        <v>25</v>
      </c>
    </row>
    <row r="22" spans="2:26" x14ac:dyDescent="0.35">
      <c r="B22" s="1" t="s">
        <v>76</v>
      </c>
      <c r="C22" s="2">
        <v>2</v>
      </c>
      <c r="D22" s="11">
        <f>+Tabla268[[#This Row],[Partidos jugados]]/$C$25</f>
        <v>0.33333333333333331</v>
      </c>
      <c r="E22" s="2"/>
      <c r="F22" s="2">
        <v>1</v>
      </c>
      <c r="G22" s="2">
        <v>1</v>
      </c>
      <c r="H22" s="2">
        <v>2</v>
      </c>
      <c r="I22" s="2"/>
      <c r="J22" s="2"/>
      <c r="K22" s="2">
        <f>+Tabla268[[#This Row],[Goles ]]+Tabla268[[#This Row],[Asistencias]]</f>
        <v>2</v>
      </c>
      <c r="L22" s="4"/>
      <c r="M22" s="4"/>
      <c r="N22" s="4"/>
      <c r="O22" s="2"/>
      <c r="P22" s="2"/>
      <c r="Q22" s="2"/>
      <c r="R22" s="2"/>
      <c r="S22" s="10">
        <v>8.75</v>
      </c>
      <c r="T22" s="10">
        <v>6.75</v>
      </c>
      <c r="U22" s="10"/>
      <c r="V22" s="10"/>
      <c r="W22" s="10"/>
      <c r="X22" s="10"/>
      <c r="Y22" s="10">
        <f>+SUM(Tabla268[[#This Row],[Notas J1]:[Notas 3 y 4]])/COUNTIF(Tabla268[[#This Row],[Notas J1]:[Notas 3 y 4]],"&gt;0")</f>
        <v>7.75</v>
      </c>
      <c r="Z22" s="10" t="s">
        <v>76</v>
      </c>
    </row>
    <row r="23" spans="2:26" x14ac:dyDescent="0.35">
      <c r="B23" s="1" t="s">
        <v>86</v>
      </c>
      <c r="C23" s="2">
        <v>3</v>
      </c>
      <c r="D23" s="11">
        <f>+Tabla268[[#This Row],[Partidos jugados]]/$C$25</f>
        <v>0.5</v>
      </c>
      <c r="E23" s="2">
        <v>1</v>
      </c>
      <c r="F23" s="2"/>
      <c r="G23" s="2">
        <v>2</v>
      </c>
      <c r="H23" s="2"/>
      <c r="I23" s="2"/>
      <c r="J23" s="2">
        <v>1</v>
      </c>
      <c r="K23" s="2">
        <f>+Tabla268[[#This Row],[Goles ]]+Tabla268[[#This Row],[Asistencias]]</f>
        <v>1</v>
      </c>
      <c r="L23" s="4">
        <f t="shared" si="0"/>
        <v>0</v>
      </c>
      <c r="M23" s="4">
        <f t="shared" si="3"/>
        <v>0.33333333333333331</v>
      </c>
      <c r="N23" s="4">
        <f t="shared" si="2"/>
        <v>0.33333333333333331</v>
      </c>
      <c r="O23" s="2"/>
      <c r="P23" s="2"/>
      <c r="Q23" s="2"/>
      <c r="R23" s="2">
        <v>7</v>
      </c>
      <c r="S23" s="10"/>
      <c r="T23" s="10">
        <v>6.5</v>
      </c>
      <c r="U23" s="10"/>
      <c r="V23" s="10"/>
      <c r="W23" s="10">
        <v>7.5</v>
      </c>
      <c r="X23" s="10"/>
      <c r="Y23" s="10">
        <f>+SUM(Tabla268[[#This Row],[Notas J1]:[Notas 3 y 4]])/COUNTIF(Tabla268[[#This Row],[Notas J1]:[Notas 3 y 4]],"&gt;0")</f>
        <v>7</v>
      </c>
      <c r="Z23" s="10" t="s">
        <v>86</v>
      </c>
    </row>
    <row r="24" spans="2:26" x14ac:dyDescent="0.35">
      <c r="B24" s="1" t="s">
        <v>78</v>
      </c>
      <c r="C24" s="2"/>
      <c r="D24" s="11">
        <f>+Tabla268[[#This Row],[Partidos jugados]]/$C$25</f>
        <v>0</v>
      </c>
      <c r="E24" s="2"/>
      <c r="F24" s="2"/>
      <c r="G24" s="2"/>
      <c r="H24" s="2"/>
      <c r="I24" s="2"/>
      <c r="J24" s="2"/>
      <c r="K24" s="2">
        <f>+Tabla268[[#This Row],[Goles ]]+Tabla268[[#This Row],[Asistencias]]</f>
        <v>0</v>
      </c>
      <c r="L24" s="4"/>
      <c r="M24" s="4"/>
      <c r="N24" s="4"/>
      <c r="O24" s="2"/>
      <c r="P24" s="2"/>
      <c r="Q24" s="2"/>
      <c r="R24" s="2"/>
      <c r="S24" s="10"/>
      <c r="T24" s="10"/>
      <c r="U24" s="10"/>
      <c r="V24" s="10"/>
      <c r="W24" s="10"/>
      <c r="X24" s="10"/>
      <c r="Y24" s="10"/>
      <c r="Z24" s="10" t="s">
        <v>78</v>
      </c>
    </row>
    <row r="25" spans="2:26" x14ac:dyDescent="0.35">
      <c r="B25" s="5" t="s">
        <v>32</v>
      </c>
      <c r="C25" s="12">
        <f>+MAX(C4:C24)</f>
        <v>6</v>
      </c>
      <c r="D25" s="12"/>
      <c r="E25" s="12">
        <f>+MAX(E4:E24)</f>
        <v>3</v>
      </c>
      <c r="F25" s="12">
        <f>+MAX(F4:F24)</f>
        <v>1</v>
      </c>
      <c r="G25" s="12">
        <f>+MAX(G4:G24)</f>
        <v>2</v>
      </c>
      <c r="H25" s="12">
        <f>+SUM(H4:H24)</f>
        <v>20</v>
      </c>
      <c r="I25" s="12"/>
      <c r="J25" s="12">
        <f>+SUM(J4:J22)</f>
        <v>13</v>
      </c>
      <c r="K25" s="12">
        <f>+Tabla268[[#This Row],[Goles ]]+Tabla268[[#This Row],[Asistencias]]</f>
        <v>33</v>
      </c>
      <c r="L25" s="13"/>
      <c r="M25" s="13"/>
      <c r="N25" s="13"/>
      <c r="O25" s="12"/>
      <c r="P25" s="12">
        <f>+SUM(P4:P21)</f>
        <v>8</v>
      </c>
      <c r="Q25" s="12">
        <f>+SUM(Q4:Q21)</f>
        <v>1</v>
      </c>
      <c r="R25" s="14">
        <v>9.5</v>
      </c>
      <c r="S25" s="14">
        <v>8.75</v>
      </c>
      <c r="T25" s="14">
        <v>4</v>
      </c>
      <c r="U25" s="20">
        <v>10</v>
      </c>
      <c r="V25" s="14">
        <v>9.5</v>
      </c>
      <c r="W25" s="14">
        <v>7</v>
      </c>
      <c r="X25" s="14"/>
      <c r="Y25" s="14">
        <f>+SUM(Tabla268[[#This Row],[Notas J1]:[Notas 3 y 4]])/COUNTIF(Tabla268[[#This Row],[Notas J1]:[Notas 3 y 4]],"&gt;0")</f>
        <v>8.125</v>
      </c>
      <c r="Z25" s="15" t="s">
        <v>79</v>
      </c>
    </row>
    <row r="27" spans="2:26" x14ac:dyDescent="0.35">
      <c r="G27" s="16" t="s">
        <v>80</v>
      </c>
      <c r="H27" s="16">
        <v>1</v>
      </c>
      <c r="I27" s="19"/>
    </row>
    <row r="28" spans="2:26" x14ac:dyDescent="0.35">
      <c r="D28" s="7"/>
    </row>
    <row r="29" spans="2:26" x14ac:dyDescent="0.35">
      <c r="B29" s="8" t="s">
        <v>33</v>
      </c>
      <c r="C29" s="6" t="s">
        <v>92</v>
      </c>
      <c r="D29" s="6"/>
    </row>
    <row r="30" spans="2:26" x14ac:dyDescent="0.35">
      <c r="B30" s="8" t="s">
        <v>34</v>
      </c>
      <c r="C30" s="6" t="s">
        <v>88</v>
      </c>
      <c r="D30" s="6"/>
    </row>
    <row r="31" spans="2:26" x14ac:dyDescent="0.35">
      <c r="B31" t="s">
        <v>50</v>
      </c>
      <c r="C31" s="7">
        <f>+H25+I19+H12+H24+H27</f>
        <v>7</v>
      </c>
      <c r="D31" s="7"/>
    </row>
  </sheetData>
  <mergeCells count="1">
    <mergeCell ref="P2:Q2"/>
  </mergeCells>
  <pageMargins left="0.7" right="0.7" top="0.75" bottom="0.75" header="0.3" footer="0.3"/>
  <ignoredErrors>
    <ignoredError sqref="Y4:Y23" calculatedColumn="1"/>
  </ignoredErrors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3DF81-3032-4F7E-A380-A709FBB42639}">
  <dimension ref="B2:AL41"/>
  <sheetViews>
    <sheetView tabSelected="1" zoomScale="55" zoomScaleNormal="55" workbookViewId="0">
      <selection activeCell="H23" sqref="H23"/>
    </sheetView>
  </sheetViews>
  <sheetFormatPr baseColWidth="10" defaultRowHeight="14.5" x14ac:dyDescent="0.35"/>
  <cols>
    <col min="2" max="2" width="18.453125" bestFit="1" customWidth="1"/>
    <col min="3" max="3" width="20.90625" bestFit="1" customWidth="1"/>
    <col min="4" max="4" width="17.6328125" bestFit="1" customWidth="1"/>
    <col min="5" max="5" width="15.90625" bestFit="1" customWidth="1"/>
    <col min="6" max="6" width="17.90625" bestFit="1" customWidth="1"/>
    <col min="7" max="7" width="16.08984375" bestFit="1" customWidth="1"/>
    <col min="8" max="8" width="19.26953125" bestFit="1" customWidth="1"/>
    <col min="9" max="9" width="20.90625" bestFit="1" customWidth="1"/>
    <col min="10" max="10" width="16.7265625" bestFit="1" customWidth="1"/>
    <col min="18" max="18" width="22.1796875" bestFit="1" customWidth="1"/>
    <col min="19" max="37" width="22.1796875" customWidth="1"/>
    <col min="38" max="38" width="15.1796875" customWidth="1"/>
  </cols>
  <sheetData>
    <row r="2" spans="2:38" x14ac:dyDescent="0.35">
      <c r="P2" s="36" t="s">
        <v>26</v>
      </c>
      <c r="Q2" s="37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</row>
    <row r="3" spans="2:38" x14ac:dyDescent="0.35">
      <c r="B3" s="5" t="s">
        <v>0</v>
      </c>
      <c r="C3" s="5" t="s">
        <v>5</v>
      </c>
      <c r="D3" s="5" t="s">
        <v>74</v>
      </c>
      <c r="E3" s="5" t="s">
        <v>6</v>
      </c>
      <c r="F3" s="5" t="s">
        <v>7</v>
      </c>
      <c r="G3" s="5" t="s">
        <v>8</v>
      </c>
      <c r="H3" s="5" t="s">
        <v>91</v>
      </c>
      <c r="I3" s="5" t="s">
        <v>90</v>
      </c>
      <c r="J3" s="5" t="s">
        <v>1</v>
      </c>
      <c r="K3" s="5" t="s">
        <v>73</v>
      </c>
      <c r="L3" s="5" t="s">
        <v>2</v>
      </c>
      <c r="M3" s="5" t="s">
        <v>3</v>
      </c>
      <c r="N3" s="5" t="s">
        <v>4</v>
      </c>
      <c r="O3" s="5" t="s">
        <v>29</v>
      </c>
      <c r="P3" s="5" t="s">
        <v>27</v>
      </c>
      <c r="Q3" s="5" t="s">
        <v>28</v>
      </c>
      <c r="R3" s="5" t="s">
        <v>81</v>
      </c>
      <c r="S3" s="5" t="s">
        <v>82</v>
      </c>
      <c r="T3" s="5" t="s">
        <v>53</v>
      </c>
      <c r="U3" s="5" t="s">
        <v>56</v>
      </c>
      <c r="V3" s="5" t="s">
        <v>57</v>
      </c>
      <c r="W3" s="5" t="s">
        <v>58</v>
      </c>
      <c r="X3" s="5" t="s">
        <v>59</v>
      </c>
      <c r="Y3" s="5" t="s">
        <v>60</v>
      </c>
      <c r="Z3" s="5" t="s">
        <v>61</v>
      </c>
      <c r="AA3" s="5" t="s">
        <v>62</v>
      </c>
      <c r="AB3" s="5" t="s">
        <v>63</v>
      </c>
      <c r="AC3" s="5" t="s">
        <v>64</v>
      </c>
      <c r="AD3" s="5" t="s">
        <v>65</v>
      </c>
      <c r="AE3" s="5" t="s">
        <v>66</v>
      </c>
      <c r="AF3" s="5" t="s">
        <v>67</v>
      </c>
      <c r="AG3" s="5" t="s">
        <v>68</v>
      </c>
      <c r="AH3" s="5" t="s">
        <v>69</v>
      </c>
      <c r="AI3" s="5" t="s">
        <v>70</v>
      </c>
      <c r="AJ3" s="5" t="s">
        <v>71</v>
      </c>
      <c r="AK3" s="5" t="s">
        <v>52</v>
      </c>
      <c r="AL3" s="5" t="s">
        <v>75</v>
      </c>
    </row>
    <row r="4" spans="2:38" x14ac:dyDescent="0.35">
      <c r="B4" s="5" t="s">
        <v>9</v>
      </c>
      <c r="C4" s="22">
        <v>16</v>
      </c>
      <c r="D4" s="23">
        <f>+Tabla223252729[[#This Row],[Partidos jugados]]/$C$19</f>
        <v>0.84210526315789469</v>
      </c>
      <c r="E4" s="22">
        <v>9</v>
      </c>
      <c r="F4" s="22">
        <v>3</v>
      </c>
      <c r="G4" s="22">
        <v>4</v>
      </c>
      <c r="H4" s="22">
        <v>6</v>
      </c>
      <c r="I4" s="22"/>
      <c r="J4" s="22">
        <v>8</v>
      </c>
      <c r="K4" s="22">
        <f>+Tabla223252729[[#This Row],[Goles ]]+Tabla223252729[[#This Row],[Asistencias]]</f>
        <v>14</v>
      </c>
      <c r="L4" s="24">
        <f>+Tabla223252729[[#This Row],[Goles ]]/Tabla223252729[[#This Row],[Partidos jugados]]</f>
        <v>0.375</v>
      </c>
      <c r="M4" s="24">
        <f>+Tabla223252729[[#This Row],[Asistencias]]/Tabla223252729[[#This Row],[Partidos jugados]]</f>
        <v>0.5</v>
      </c>
      <c r="N4" s="24">
        <f>+Tabla223252729[[#This Row],[G+A]]/Tabla223252729[[#This Row],[Partidos jugados]]</f>
        <v>0.875</v>
      </c>
      <c r="O4" s="22"/>
      <c r="P4" s="22">
        <v>2</v>
      </c>
      <c r="Q4" s="22"/>
      <c r="R4" s="25">
        <v>8.5</v>
      </c>
      <c r="S4" s="25">
        <v>7.75</v>
      </c>
      <c r="T4" s="25">
        <v>8.5</v>
      </c>
      <c r="U4" s="25"/>
      <c r="V4" s="25">
        <v>9.25</v>
      </c>
      <c r="W4" s="25">
        <v>7</v>
      </c>
      <c r="X4" s="25">
        <v>7</v>
      </c>
      <c r="Y4" s="25">
        <v>6</v>
      </c>
      <c r="Z4" s="25">
        <v>7</v>
      </c>
      <c r="AA4" s="25">
        <v>7.75</v>
      </c>
      <c r="AB4" s="25">
        <v>7.75</v>
      </c>
      <c r="AC4" s="25">
        <v>6</v>
      </c>
      <c r="AD4" s="25">
        <v>6.5</v>
      </c>
      <c r="AE4" s="25">
        <v>6</v>
      </c>
      <c r="AF4" s="25"/>
      <c r="AG4" s="25">
        <v>7.25</v>
      </c>
      <c r="AH4" s="25"/>
      <c r="AI4" s="25">
        <v>4.5</v>
      </c>
      <c r="AJ4" s="25">
        <v>8</v>
      </c>
      <c r="AK4" s="25">
        <f>+SUM(Tabla223252729[[#This Row],[Notas J1]:[Notas J19]])/COUNTIF(Tabla223252729[[#This Row],[Notas J1]:[Notas J19]],"&gt;0")</f>
        <v>7.171875</v>
      </c>
      <c r="AL4" s="32" t="s">
        <v>9</v>
      </c>
    </row>
    <row r="5" spans="2:38" x14ac:dyDescent="0.35">
      <c r="B5" s="5" t="s">
        <v>11</v>
      </c>
      <c r="C5" s="26">
        <v>18</v>
      </c>
      <c r="D5" s="28">
        <f>+Tabla223252729[[#This Row],[Partidos jugados]]/$C$19</f>
        <v>0.94736842105263153</v>
      </c>
      <c r="E5" s="26">
        <v>9</v>
      </c>
      <c r="F5" s="26">
        <v>3</v>
      </c>
      <c r="G5" s="26">
        <v>6</v>
      </c>
      <c r="H5" s="26">
        <v>16</v>
      </c>
      <c r="I5" s="26"/>
      <c r="J5" s="26">
        <v>4</v>
      </c>
      <c r="K5" s="26">
        <f>+Tabla223252729[[#This Row],[Goles ]]+Tabla223252729[[#This Row],[Asistencias]]</f>
        <v>20</v>
      </c>
      <c r="L5" s="27">
        <f>+Tabla223252729[[#This Row],[Goles ]]/Tabla223252729[[#This Row],[Partidos jugados]]</f>
        <v>0.88888888888888884</v>
      </c>
      <c r="M5" s="27">
        <f>+Tabla223252729[[#This Row],[Asistencias]]/Tabla223252729[[#This Row],[Partidos jugados]]</f>
        <v>0.22222222222222221</v>
      </c>
      <c r="N5" s="27">
        <f>+Tabla223252729[[#This Row],[G+A]]/Tabla223252729[[#This Row],[Partidos jugados]]</f>
        <v>1.1111111111111112</v>
      </c>
      <c r="O5" s="26">
        <v>1</v>
      </c>
      <c r="P5" s="26">
        <v>2</v>
      </c>
      <c r="Q5" s="26"/>
      <c r="R5" s="29">
        <v>8</v>
      </c>
      <c r="S5" s="29">
        <v>7</v>
      </c>
      <c r="T5" s="29">
        <v>7.5</v>
      </c>
      <c r="U5" s="29">
        <v>3</v>
      </c>
      <c r="V5" s="29">
        <v>8</v>
      </c>
      <c r="W5" s="29">
        <v>9</v>
      </c>
      <c r="X5" s="29">
        <v>8.5</v>
      </c>
      <c r="Y5" s="29">
        <v>5.75</v>
      </c>
      <c r="Z5" s="29">
        <v>8.25</v>
      </c>
      <c r="AA5" s="29">
        <v>7.75</v>
      </c>
      <c r="AB5" s="29">
        <v>8.75</v>
      </c>
      <c r="AC5" s="29">
        <v>4.75</v>
      </c>
      <c r="AD5" s="29">
        <v>6.5</v>
      </c>
      <c r="AE5" s="29">
        <v>5.5</v>
      </c>
      <c r="AF5" s="29">
        <v>8.75</v>
      </c>
      <c r="AG5" s="29">
        <v>7</v>
      </c>
      <c r="AH5" s="29">
        <v>6</v>
      </c>
      <c r="AI5" s="29">
        <v>7.5</v>
      </c>
      <c r="AJ5" s="29"/>
      <c r="AK5" s="29">
        <f>+SUM(Tabla223252729[[#This Row],[Notas J1]:[Notas J19]])/COUNTIF(Tabla223252729[[#This Row],[Notas J1]:[Notas J19]],"&gt;0")</f>
        <v>7.083333333333333</v>
      </c>
      <c r="AL5" s="32" t="s">
        <v>11</v>
      </c>
    </row>
    <row r="6" spans="2:38" x14ac:dyDescent="0.35">
      <c r="B6" s="5" t="s">
        <v>12</v>
      </c>
      <c r="C6" s="22">
        <v>17</v>
      </c>
      <c r="D6" s="23">
        <f>+Tabla223252729[[#This Row],[Partidos jugados]]/$C$19</f>
        <v>0.89473684210526316</v>
      </c>
      <c r="E6" s="22">
        <v>9</v>
      </c>
      <c r="F6" s="22">
        <v>3</v>
      </c>
      <c r="G6" s="22">
        <v>5</v>
      </c>
      <c r="H6" s="22">
        <v>8</v>
      </c>
      <c r="I6" s="22"/>
      <c r="J6" s="22">
        <v>4</v>
      </c>
      <c r="K6" s="22">
        <f>+Tabla223252729[[#This Row],[Goles ]]+Tabla223252729[[#This Row],[Asistencias]]</f>
        <v>12</v>
      </c>
      <c r="L6" s="24">
        <f>+Tabla223252729[[#This Row],[Goles ]]/Tabla223252729[[#This Row],[Partidos jugados]]</f>
        <v>0.47058823529411764</v>
      </c>
      <c r="M6" s="24">
        <f>+Tabla223252729[[#This Row],[Asistencias]]/Tabla223252729[[#This Row],[Partidos jugados]]</f>
        <v>0.23529411764705882</v>
      </c>
      <c r="N6" s="24">
        <f>+Tabla223252729[[#This Row],[G+A]]/Tabla223252729[[#This Row],[Partidos jugados]]</f>
        <v>0.70588235294117652</v>
      </c>
      <c r="O6" s="22">
        <v>7</v>
      </c>
      <c r="P6" s="22">
        <v>2</v>
      </c>
      <c r="Q6" s="22"/>
      <c r="R6" s="25"/>
      <c r="S6" s="25">
        <v>8.5</v>
      </c>
      <c r="T6" s="25">
        <v>8.5</v>
      </c>
      <c r="U6" s="25">
        <v>3</v>
      </c>
      <c r="V6" s="25">
        <v>7.5</v>
      </c>
      <c r="W6" s="25">
        <v>8.25</v>
      </c>
      <c r="X6" s="25">
        <v>8.25</v>
      </c>
      <c r="Y6" s="25">
        <v>7.75</v>
      </c>
      <c r="Z6" s="25">
        <v>9.5</v>
      </c>
      <c r="AA6" s="25">
        <v>9.25</v>
      </c>
      <c r="AB6" s="25">
        <v>6.25</v>
      </c>
      <c r="AC6" s="25">
        <v>8.25</v>
      </c>
      <c r="AD6" s="25">
        <v>8.75</v>
      </c>
      <c r="AE6" s="34" t="s">
        <v>100</v>
      </c>
      <c r="AF6" s="34">
        <v>8.75</v>
      </c>
      <c r="AG6" s="34">
        <v>7.5</v>
      </c>
      <c r="AH6" s="34"/>
      <c r="AI6" s="34">
        <v>8.5</v>
      </c>
      <c r="AJ6" s="34">
        <v>9.75</v>
      </c>
      <c r="AK6" s="25">
        <f>+SUM(Tabla223252729[[#This Row],[Notas J1]:[Notas J19]])/COUNTIF(Tabla223252729[[#This Row],[Notas J1]:[Notas J19]],"&gt;0")</f>
        <v>8.015625</v>
      </c>
      <c r="AL6" s="32" t="s">
        <v>12</v>
      </c>
    </row>
    <row r="7" spans="2:38" x14ac:dyDescent="0.35">
      <c r="B7" s="5" t="s">
        <v>13</v>
      </c>
      <c r="C7" s="26">
        <v>15</v>
      </c>
      <c r="D7" s="28">
        <f>+Tabla223252729[[#This Row],[Partidos jugados]]/$C$19</f>
        <v>0.78947368421052633</v>
      </c>
      <c r="E7" s="26">
        <v>9</v>
      </c>
      <c r="F7" s="26">
        <v>2</v>
      </c>
      <c r="G7" s="26">
        <v>5</v>
      </c>
      <c r="H7" s="26"/>
      <c r="I7" s="26"/>
      <c r="J7" s="26"/>
      <c r="K7" s="26">
        <f>+Tabla223252729[[#This Row],[Goles ]]+Tabla223252729[[#This Row],[Asistencias]]</f>
        <v>0</v>
      </c>
      <c r="L7" s="27">
        <f>+Tabla223252729[[#This Row],[Goles ]]/Tabla223252729[[#This Row],[Partidos jugados]]</f>
        <v>0</v>
      </c>
      <c r="M7" s="27">
        <f>+Tabla223252729[[#This Row],[Asistencias]]/Tabla223252729[[#This Row],[Partidos jugados]]</f>
        <v>0</v>
      </c>
      <c r="N7" s="27">
        <f>+Tabla223252729[[#This Row],[G+A]]/Tabla223252729[[#This Row],[Partidos jugados]]</f>
        <v>0</v>
      </c>
      <c r="O7" s="26"/>
      <c r="P7" s="26">
        <v>2</v>
      </c>
      <c r="Q7" s="26"/>
      <c r="R7" s="29">
        <v>7.5</v>
      </c>
      <c r="S7" s="29"/>
      <c r="T7" s="29">
        <v>7.25</v>
      </c>
      <c r="U7" s="29">
        <v>3</v>
      </c>
      <c r="V7" s="29">
        <v>7.5</v>
      </c>
      <c r="W7" s="29"/>
      <c r="X7" s="29">
        <v>7</v>
      </c>
      <c r="Y7" s="29">
        <v>4.75</v>
      </c>
      <c r="Z7" s="29">
        <v>7</v>
      </c>
      <c r="AA7" s="29">
        <v>7</v>
      </c>
      <c r="AB7" s="29">
        <v>8.25</v>
      </c>
      <c r="AC7" s="29">
        <v>5.5</v>
      </c>
      <c r="AD7" s="29">
        <v>6.5</v>
      </c>
      <c r="AE7" s="29">
        <v>6</v>
      </c>
      <c r="AF7" s="29"/>
      <c r="AG7" s="29">
        <v>5</v>
      </c>
      <c r="AH7" s="29"/>
      <c r="AI7" s="29">
        <v>6.75</v>
      </c>
      <c r="AJ7" s="29">
        <v>7.5</v>
      </c>
      <c r="AK7" s="29">
        <f>+SUM(Tabla223252729[[#This Row],[Notas J1]:[Notas J19]])/COUNTIF(Tabla223252729[[#This Row],[Notas J1]:[Notas J19]],"&gt;0")</f>
        <v>6.4333333333333336</v>
      </c>
      <c r="AL7" s="32" t="s">
        <v>13</v>
      </c>
    </row>
    <row r="8" spans="2:38" x14ac:dyDescent="0.35">
      <c r="B8" s="5" t="s">
        <v>14</v>
      </c>
      <c r="C8" s="22">
        <v>11</v>
      </c>
      <c r="D8" s="23">
        <f>+Tabla223252729[[#This Row],[Partidos jugados]]/$C$19</f>
        <v>0.57894736842105265</v>
      </c>
      <c r="E8" s="22">
        <v>7</v>
      </c>
      <c r="F8" s="22">
        <v>1</v>
      </c>
      <c r="G8" s="22">
        <v>3</v>
      </c>
      <c r="H8" s="22">
        <v>17</v>
      </c>
      <c r="I8" s="22"/>
      <c r="J8" s="22">
        <v>14</v>
      </c>
      <c r="K8" s="22">
        <f>+Tabla223252729[[#This Row],[Goles ]]+Tabla223252729[[#This Row],[Asistencias]]</f>
        <v>31</v>
      </c>
      <c r="L8" s="24">
        <f>+Tabla223252729[[#This Row],[Goles ]]/Tabla223252729[[#This Row],[Partidos jugados]]</f>
        <v>1.5454545454545454</v>
      </c>
      <c r="M8" s="24">
        <f>+Tabla223252729[[#This Row],[Asistencias]]/Tabla223252729[[#This Row],[Partidos jugados]]</f>
        <v>1.2727272727272727</v>
      </c>
      <c r="N8" s="24">
        <f>+Tabla223252729[[#This Row],[G+A]]/Tabla223252729[[#This Row],[Partidos jugados]]</f>
        <v>2.8181818181818183</v>
      </c>
      <c r="O8" s="22">
        <v>5</v>
      </c>
      <c r="P8" s="22">
        <v>1</v>
      </c>
      <c r="Q8" s="22"/>
      <c r="R8" s="25">
        <v>9.75</v>
      </c>
      <c r="S8" s="25">
        <v>9.25</v>
      </c>
      <c r="T8" s="25">
        <v>7.5</v>
      </c>
      <c r="U8" s="25">
        <v>3</v>
      </c>
      <c r="V8" s="25">
        <v>9.5</v>
      </c>
      <c r="W8" s="25">
        <v>9</v>
      </c>
      <c r="X8" s="25">
        <v>9.75</v>
      </c>
      <c r="Y8" s="25">
        <v>9</v>
      </c>
      <c r="Z8" s="25">
        <v>9</v>
      </c>
      <c r="AA8" s="25">
        <v>8.75</v>
      </c>
      <c r="AB8" s="25">
        <v>9.25</v>
      </c>
      <c r="AC8" s="25"/>
      <c r="AD8" s="25"/>
      <c r="AE8" s="25"/>
      <c r="AF8" s="25"/>
      <c r="AG8" s="25"/>
      <c r="AH8" s="25"/>
      <c r="AI8" s="25"/>
      <c r="AJ8" s="25"/>
      <c r="AK8" s="25">
        <f>+SUM(Tabla223252729[[#This Row],[Notas J1]:[Notas J19]])/COUNTIF(Tabla223252729[[#This Row],[Notas J1]:[Notas J19]],"&gt;0")</f>
        <v>8.5227272727272734</v>
      </c>
      <c r="AL8" s="32" t="s">
        <v>14</v>
      </c>
    </row>
    <row r="9" spans="2:38" x14ac:dyDescent="0.35">
      <c r="B9" s="5" t="s">
        <v>15</v>
      </c>
      <c r="C9" s="26">
        <v>7</v>
      </c>
      <c r="D9" s="28">
        <f>+Tabla223252729[[#This Row],[Partidos jugados]]/$C$19</f>
        <v>0.36842105263157893</v>
      </c>
      <c r="E9" s="26">
        <v>2</v>
      </c>
      <c r="F9" s="26">
        <v>1</v>
      </c>
      <c r="G9" s="26">
        <v>4</v>
      </c>
      <c r="H9" s="26">
        <v>2</v>
      </c>
      <c r="I9" s="26"/>
      <c r="J9" s="26"/>
      <c r="K9" s="26">
        <f>+Tabla223252729[[#This Row],[Goles ]]+Tabla223252729[[#This Row],[Asistencias]]</f>
        <v>2</v>
      </c>
      <c r="L9" s="27">
        <f>+Tabla223252729[[#This Row],[Goles ]]/Tabla223252729[[#This Row],[Partidos jugados]]</f>
        <v>0.2857142857142857</v>
      </c>
      <c r="M9" s="27">
        <f>+Tabla223252729[[#This Row],[Asistencias]]/Tabla223252729[[#This Row],[Partidos jugados]]</f>
        <v>0</v>
      </c>
      <c r="N9" s="27">
        <f>+Tabla223252729[[#This Row],[G+A]]/Tabla223252729[[#This Row],[Partidos jugados]]</f>
        <v>0.2857142857142857</v>
      </c>
      <c r="O9" s="26">
        <v>1</v>
      </c>
      <c r="P9" s="26"/>
      <c r="Q9" s="26"/>
      <c r="R9" s="29"/>
      <c r="S9" s="29"/>
      <c r="T9" s="29"/>
      <c r="U9" s="29"/>
      <c r="V9" s="29"/>
      <c r="W9" s="29"/>
      <c r="X9" s="29"/>
      <c r="Y9" s="29"/>
      <c r="Z9" s="29">
        <v>8.25</v>
      </c>
      <c r="AA9" s="29"/>
      <c r="AB9" s="29"/>
      <c r="AC9" s="29">
        <v>4.5</v>
      </c>
      <c r="AD9" s="29">
        <v>7</v>
      </c>
      <c r="AE9" s="29">
        <v>6.5</v>
      </c>
      <c r="AF9" s="29">
        <v>8.5</v>
      </c>
      <c r="AG9" s="29">
        <v>8</v>
      </c>
      <c r="AH9" s="29">
        <v>8.5</v>
      </c>
      <c r="AI9" s="29"/>
      <c r="AJ9" s="29"/>
      <c r="AK9" s="29">
        <f>+SUM(Tabla223252729[[#This Row],[Notas J1]:[Notas J19]])/COUNTIF(Tabla223252729[[#This Row],[Notas J1]:[Notas J19]],"&gt;0")</f>
        <v>7.3214285714285712</v>
      </c>
      <c r="AL9" s="32" t="s">
        <v>15</v>
      </c>
    </row>
    <row r="10" spans="2:38" x14ac:dyDescent="0.35">
      <c r="B10" s="5" t="s">
        <v>31</v>
      </c>
      <c r="C10" s="22">
        <v>14</v>
      </c>
      <c r="D10" s="23">
        <f>+Tabla223252729[[#This Row],[Partidos jugados]]/$C$19</f>
        <v>0.73684210526315785</v>
      </c>
      <c r="E10" s="22">
        <v>7</v>
      </c>
      <c r="F10" s="22">
        <v>2</v>
      </c>
      <c r="G10" s="22">
        <v>5</v>
      </c>
      <c r="H10" s="22">
        <v>1</v>
      </c>
      <c r="I10" s="22"/>
      <c r="J10" s="22"/>
      <c r="K10" s="22">
        <f>+Tabla223252729[[#This Row],[Goles ]]+Tabla223252729[[#This Row],[Asistencias]]</f>
        <v>1</v>
      </c>
      <c r="L10" s="24">
        <f>+Tabla223252729[[#This Row],[Goles ]]/Tabla223252729[[#This Row],[Partidos jugados]]</f>
        <v>7.1428571428571425E-2</v>
      </c>
      <c r="M10" s="24">
        <f>+Tabla223252729[[#This Row],[Asistencias]]/Tabla223252729[[#This Row],[Partidos jugados]]</f>
        <v>0</v>
      </c>
      <c r="N10" s="24">
        <f>+Tabla223252729[[#This Row],[G+A]]/Tabla223252729[[#This Row],[Partidos jugados]]</f>
        <v>7.1428571428571425E-2</v>
      </c>
      <c r="O10" s="22"/>
      <c r="P10" s="22">
        <v>1</v>
      </c>
      <c r="Q10" s="22"/>
      <c r="R10" s="25">
        <v>8</v>
      </c>
      <c r="S10" s="25" t="s">
        <v>96</v>
      </c>
      <c r="T10" s="25">
        <v>6</v>
      </c>
      <c r="U10" s="25">
        <v>3</v>
      </c>
      <c r="V10" s="25">
        <v>4.5</v>
      </c>
      <c r="W10" s="25">
        <v>6</v>
      </c>
      <c r="X10" s="25">
        <v>6.75</v>
      </c>
      <c r="Y10" s="25">
        <v>3.5</v>
      </c>
      <c r="Z10" s="34" t="s">
        <v>100</v>
      </c>
      <c r="AA10" s="34"/>
      <c r="AB10" s="34">
        <v>6</v>
      </c>
      <c r="AC10" s="34">
        <v>4.25</v>
      </c>
      <c r="AD10" s="34">
        <v>2.25</v>
      </c>
      <c r="AE10" s="34"/>
      <c r="AF10" s="34"/>
      <c r="AG10" s="34">
        <v>5.5</v>
      </c>
      <c r="AH10" s="34"/>
      <c r="AI10" s="34">
        <v>4</v>
      </c>
      <c r="AJ10" s="34"/>
      <c r="AK10" s="25">
        <f>+SUM(Tabla223252729[[#This Row],[Notas J1]:[Notas J19]])/COUNTIF(Tabla223252729[[#This Row],[Notas J1]:[Notas J19]],"&gt;0")</f>
        <v>4.979166666666667</v>
      </c>
      <c r="AL10" s="32" t="s">
        <v>31</v>
      </c>
    </row>
    <row r="11" spans="2:38" x14ac:dyDescent="0.35">
      <c r="B11" s="5" t="s">
        <v>17</v>
      </c>
      <c r="C11" s="26">
        <v>15</v>
      </c>
      <c r="D11" s="28">
        <f>+Tabla223252729[[#This Row],[Partidos jugados]]/$C$19</f>
        <v>0.78947368421052633</v>
      </c>
      <c r="E11" s="26">
        <v>7</v>
      </c>
      <c r="F11" s="26">
        <v>3</v>
      </c>
      <c r="G11" s="26">
        <v>5</v>
      </c>
      <c r="H11" s="26">
        <v>1</v>
      </c>
      <c r="I11" s="26"/>
      <c r="J11" s="26">
        <v>4</v>
      </c>
      <c r="K11" s="26">
        <f>+Tabla223252729[[#This Row],[Goles ]]+Tabla223252729[[#This Row],[Asistencias]]</f>
        <v>5</v>
      </c>
      <c r="L11" s="27">
        <f>+Tabla223252729[[#This Row],[Goles ]]/Tabla223252729[[#This Row],[Partidos jugados]]</f>
        <v>6.6666666666666666E-2</v>
      </c>
      <c r="M11" s="27">
        <f>+Tabla223252729[[#This Row],[Asistencias]]/Tabla223252729[[#This Row],[Partidos jugados]]</f>
        <v>0.26666666666666666</v>
      </c>
      <c r="N11" s="27">
        <f>+Tabla223252729[[#This Row],[G+A]]/Tabla223252729[[#This Row],[Partidos jugados]]</f>
        <v>0.33333333333333331</v>
      </c>
      <c r="O11" s="26">
        <v>1</v>
      </c>
      <c r="P11" s="26"/>
      <c r="Q11" s="26"/>
      <c r="R11" s="29">
        <v>8.25</v>
      </c>
      <c r="S11" s="29">
        <v>7.25</v>
      </c>
      <c r="T11" s="29"/>
      <c r="U11" s="29"/>
      <c r="V11" s="29">
        <v>7.75</v>
      </c>
      <c r="W11" s="29">
        <v>8.5</v>
      </c>
      <c r="X11" s="29">
        <v>7</v>
      </c>
      <c r="Y11" s="29">
        <v>5.75</v>
      </c>
      <c r="Z11" s="29">
        <v>6.5</v>
      </c>
      <c r="AA11" s="29">
        <v>8</v>
      </c>
      <c r="AB11" s="29"/>
      <c r="AC11" s="29">
        <v>3.5</v>
      </c>
      <c r="AD11" s="29">
        <v>8</v>
      </c>
      <c r="AE11" s="29">
        <v>7.5</v>
      </c>
      <c r="AF11" s="29">
        <v>8</v>
      </c>
      <c r="AG11" s="29">
        <v>6.5</v>
      </c>
      <c r="AH11" s="29">
        <v>8</v>
      </c>
      <c r="AI11" s="29">
        <v>5.75</v>
      </c>
      <c r="AJ11" s="29"/>
      <c r="AK11" s="29">
        <f>+SUM(Tabla223252729[[#This Row],[Notas J1]:[Notas J19]])/COUNTIF(Tabla223252729[[#This Row],[Notas J1]:[Notas J19]],"&gt;0")</f>
        <v>7.083333333333333</v>
      </c>
      <c r="AL11" s="32" t="s">
        <v>17</v>
      </c>
    </row>
    <row r="12" spans="2:38" x14ac:dyDescent="0.35">
      <c r="B12" s="5" t="s">
        <v>18</v>
      </c>
      <c r="C12" s="22">
        <v>14</v>
      </c>
      <c r="D12" s="23">
        <f>+Tabla223252729[[#This Row],[Partidos jugados]]/$C$19</f>
        <v>0.73684210526315785</v>
      </c>
      <c r="E12" s="22">
        <v>7</v>
      </c>
      <c r="F12" s="22">
        <v>2</v>
      </c>
      <c r="G12" s="22">
        <v>5</v>
      </c>
      <c r="H12" s="22">
        <v>2</v>
      </c>
      <c r="I12" s="24"/>
      <c r="J12" s="22">
        <v>2</v>
      </c>
      <c r="K12" s="22">
        <f>+Tabla223252729[[#This Row],[Goles ]]+Tabla223252729[[#This Row],[Asistencias]]</f>
        <v>4</v>
      </c>
      <c r="L12" s="24">
        <f>+Tabla223252729[[#This Row],[Goles ]]/Tabla223252729[[#This Row],[Partidos jugados]]</f>
        <v>0.14285714285714285</v>
      </c>
      <c r="M12" s="24">
        <f>+Tabla223252729[[#This Row],[Asistencias]]/Tabla223252729[[#This Row],[Partidos jugados]]</f>
        <v>0.14285714285714285</v>
      </c>
      <c r="N12" s="24">
        <f>+Tabla223252729[[#This Row],[G+A]]/Tabla223252729[[#This Row],[Partidos jugados]]</f>
        <v>0.2857142857142857</v>
      </c>
      <c r="O12" s="22">
        <v>1</v>
      </c>
      <c r="P12" s="24"/>
      <c r="Q12" s="24"/>
      <c r="R12" s="25"/>
      <c r="S12" s="25"/>
      <c r="T12" s="25">
        <v>7</v>
      </c>
      <c r="U12" s="25">
        <v>3</v>
      </c>
      <c r="V12" s="25"/>
      <c r="W12" s="25">
        <v>7.5</v>
      </c>
      <c r="X12" s="25"/>
      <c r="Y12" s="25">
        <v>5</v>
      </c>
      <c r="Z12" s="25"/>
      <c r="AA12" s="25">
        <v>6.75</v>
      </c>
      <c r="AB12" s="25">
        <v>7.75</v>
      </c>
      <c r="AC12" s="25">
        <v>2</v>
      </c>
      <c r="AD12" s="25">
        <v>6.75</v>
      </c>
      <c r="AE12" s="25">
        <v>4.5</v>
      </c>
      <c r="AF12" s="25">
        <v>9.5</v>
      </c>
      <c r="AG12" s="25">
        <v>7.25</v>
      </c>
      <c r="AH12" s="25">
        <v>7.75</v>
      </c>
      <c r="AI12" s="25">
        <v>6.25</v>
      </c>
      <c r="AJ12" s="25">
        <v>7</v>
      </c>
      <c r="AK12" s="25">
        <f>+SUM(Tabla223252729[[#This Row],[Notas J1]:[Notas J19]])/COUNTIF(Tabla223252729[[#This Row],[Notas J1]:[Notas J19]],"&gt;0")</f>
        <v>6.2857142857142856</v>
      </c>
      <c r="AL12" s="32" t="s">
        <v>18</v>
      </c>
    </row>
    <row r="13" spans="2:38" x14ac:dyDescent="0.35">
      <c r="B13" s="5" t="s">
        <v>19</v>
      </c>
      <c r="C13" s="26">
        <v>11</v>
      </c>
      <c r="D13" s="28">
        <f>+Tabla223252729[[#This Row],[Partidos jugados]]/$C$19</f>
        <v>0.57894736842105265</v>
      </c>
      <c r="E13" s="26">
        <v>4</v>
      </c>
      <c r="F13" s="26">
        <v>2</v>
      </c>
      <c r="G13" s="26">
        <v>5</v>
      </c>
      <c r="H13" s="26">
        <v>1</v>
      </c>
      <c r="I13" s="26"/>
      <c r="J13" s="26">
        <v>1</v>
      </c>
      <c r="K13" s="26">
        <f>+Tabla223252729[[#This Row],[Goles ]]+Tabla223252729[[#This Row],[Asistencias]]</f>
        <v>2</v>
      </c>
      <c r="L13" s="27">
        <f>+Tabla223252729[[#This Row],[Goles ]]/Tabla223252729[[#This Row],[Partidos jugados]]</f>
        <v>9.0909090909090912E-2</v>
      </c>
      <c r="M13" s="27">
        <f>+Tabla223252729[[#This Row],[Asistencias]]/Tabla223252729[[#This Row],[Partidos jugados]]</f>
        <v>9.0909090909090912E-2</v>
      </c>
      <c r="N13" s="27">
        <f>+Tabla223252729[[#This Row],[G+A]]/Tabla223252729[[#This Row],[Partidos jugados]]</f>
        <v>0.18181818181818182</v>
      </c>
      <c r="O13" s="26"/>
      <c r="P13" s="26"/>
      <c r="Q13" s="26"/>
      <c r="R13" s="29"/>
      <c r="S13" s="29">
        <v>8</v>
      </c>
      <c r="T13" s="29"/>
      <c r="U13" s="29">
        <v>3</v>
      </c>
      <c r="V13" s="29">
        <v>8.25</v>
      </c>
      <c r="W13" s="29">
        <v>7.5</v>
      </c>
      <c r="X13" s="29">
        <v>7.75</v>
      </c>
      <c r="Y13" s="29">
        <v>6.75</v>
      </c>
      <c r="Z13" s="29">
        <v>8.5</v>
      </c>
      <c r="AA13" s="29"/>
      <c r="AB13" s="29">
        <v>6.25</v>
      </c>
      <c r="AC13" s="29"/>
      <c r="AD13" s="29">
        <v>6.5</v>
      </c>
      <c r="AE13" s="29">
        <v>5</v>
      </c>
      <c r="AF13" s="29"/>
      <c r="AG13" s="29">
        <v>5.75</v>
      </c>
      <c r="AH13" s="29"/>
      <c r="AI13" s="29"/>
      <c r="AJ13" s="29"/>
      <c r="AK13" s="29">
        <f>+SUM(Tabla223252729[[#This Row],[Notas J1]:[Notas J19]])/COUNTIF(Tabla223252729[[#This Row],[Notas J1]:[Notas J19]],"&gt;0")</f>
        <v>6.6590909090909092</v>
      </c>
      <c r="AL13" s="32" t="s">
        <v>19</v>
      </c>
    </row>
    <row r="14" spans="2:38" x14ac:dyDescent="0.35">
      <c r="B14" s="5" t="s">
        <v>20</v>
      </c>
      <c r="C14" s="22">
        <v>14</v>
      </c>
      <c r="D14" s="23">
        <f>+Tabla223252729[[#This Row],[Partidos jugados]]/$C$19</f>
        <v>0.73684210526315785</v>
      </c>
      <c r="E14" s="22">
        <v>6</v>
      </c>
      <c r="F14" s="22">
        <v>2</v>
      </c>
      <c r="G14" s="22">
        <v>6</v>
      </c>
      <c r="H14" s="22">
        <v>1</v>
      </c>
      <c r="I14" s="22"/>
      <c r="J14" s="22">
        <v>4</v>
      </c>
      <c r="K14" s="22">
        <f>+Tabla223252729[[#This Row],[Goles ]]+Tabla223252729[[#This Row],[Asistencias]]</f>
        <v>5</v>
      </c>
      <c r="L14" s="24">
        <f>+Tabla223252729[[#This Row],[Goles ]]/Tabla223252729[[#This Row],[Partidos jugados]]</f>
        <v>7.1428571428571425E-2</v>
      </c>
      <c r="M14" s="24">
        <f>+Tabla223252729[[#This Row],[Asistencias]]/Tabla223252729[[#This Row],[Partidos jugados]]</f>
        <v>0.2857142857142857</v>
      </c>
      <c r="N14" s="24">
        <f>+Tabla223252729[[#This Row],[G+A]]/Tabla223252729[[#This Row],[Partidos jugados]]</f>
        <v>0.35714285714285715</v>
      </c>
      <c r="O14" s="22"/>
      <c r="P14" s="22">
        <v>3</v>
      </c>
      <c r="Q14" s="22"/>
      <c r="R14" s="25"/>
      <c r="S14" s="25">
        <v>7.5</v>
      </c>
      <c r="T14" s="25"/>
      <c r="U14" s="25">
        <v>3</v>
      </c>
      <c r="V14" s="25">
        <v>7.75</v>
      </c>
      <c r="W14" s="25"/>
      <c r="X14" s="25">
        <v>8</v>
      </c>
      <c r="Y14" s="25">
        <v>7</v>
      </c>
      <c r="Z14" s="25">
        <v>7</v>
      </c>
      <c r="AA14" s="25">
        <v>8.5</v>
      </c>
      <c r="AB14" s="25">
        <v>8</v>
      </c>
      <c r="AC14" s="25">
        <v>4</v>
      </c>
      <c r="AD14" s="25">
        <v>6</v>
      </c>
      <c r="AE14" s="25">
        <v>7</v>
      </c>
      <c r="AF14" s="25">
        <v>8</v>
      </c>
      <c r="AG14" s="25">
        <v>8.25</v>
      </c>
      <c r="AH14" s="25">
        <v>7.5</v>
      </c>
      <c r="AI14" s="25"/>
      <c r="AJ14" s="25"/>
      <c r="AK14" s="25">
        <f>+SUM(Tabla223252729[[#This Row],[Notas J1]:[Notas J19]])/COUNTIF(Tabla223252729[[#This Row],[Notas J1]:[Notas J19]],"&gt;0")</f>
        <v>6.9642857142857144</v>
      </c>
      <c r="AL14" s="32" t="s">
        <v>20</v>
      </c>
    </row>
    <row r="15" spans="2:38" x14ac:dyDescent="0.35">
      <c r="B15" s="5" t="s">
        <v>21</v>
      </c>
      <c r="C15" s="26">
        <v>4</v>
      </c>
      <c r="D15" s="28">
        <f>+Tabla223252729[[#This Row],[Partidos jugados]]/$C$19</f>
        <v>0.21052631578947367</v>
      </c>
      <c r="E15" s="26">
        <v>1</v>
      </c>
      <c r="F15" s="26">
        <v>1</v>
      </c>
      <c r="G15" s="26">
        <v>2</v>
      </c>
      <c r="H15" s="26"/>
      <c r="I15" s="26"/>
      <c r="J15" s="26"/>
      <c r="K15" s="26">
        <f>+Tabla223252729[[#This Row],[Goles ]]+Tabla223252729[[#This Row],[Asistencias]]</f>
        <v>0</v>
      </c>
      <c r="L15" s="27">
        <f>+Tabla223252729[[#This Row],[Goles ]]/Tabla223252729[[#This Row],[Partidos jugados]]</f>
        <v>0</v>
      </c>
      <c r="M15" s="27">
        <f>+Tabla223252729[[#This Row],[Asistencias]]/Tabla223252729[[#This Row],[Partidos jugados]]</f>
        <v>0</v>
      </c>
      <c r="N15" s="27">
        <f>+Tabla223252729[[#This Row],[G+A]]/Tabla223252729[[#This Row],[Partidos jugados]]</f>
        <v>0</v>
      </c>
      <c r="O15" s="26"/>
      <c r="P15" s="26">
        <v>1</v>
      </c>
      <c r="Q15" s="26"/>
      <c r="R15" s="29"/>
      <c r="S15" s="29">
        <v>6.25</v>
      </c>
      <c r="T15" s="29">
        <v>7.25</v>
      </c>
      <c r="U15" s="29">
        <v>3</v>
      </c>
      <c r="V15" s="29"/>
      <c r="W15" s="29"/>
      <c r="X15" s="29"/>
      <c r="Y15" s="29"/>
      <c r="Z15" s="29">
        <v>6</v>
      </c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>
        <f>+SUM(Tabla223252729[[#This Row],[Notas J1]:[Notas J19]])/COUNTIF(Tabla223252729[[#This Row],[Notas J1]:[Notas J19]],"&gt;0")</f>
        <v>5.625</v>
      </c>
      <c r="AL15" s="32" t="s">
        <v>21</v>
      </c>
    </row>
    <row r="16" spans="2:38" x14ac:dyDescent="0.35">
      <c r="B16" s="5" t="s">
        <v>23</v>
      </c>
      <c r="C16" s="22">
        <v>17</v>
      </c>
      <c r="D16" s="23">
        <f>+Tabla223252729[[#This Row],[Partidos jugados]]/$C$19</f>
        <v>0.89473684210526316</v>
      </c>
      <c r="E16" s="22">
        <v>9</v>
      </c>
      <c r="F16" s="22">
        <v>3</v>
      </c>
      <c r="G16" s="22">
        <v>5</v>
      </c>
      <c r="H16" s="22"/>
      <c r="I16" s="22">
        <v>43</v>
      </c>
      <c r="J16" s="22"/>
      <c r="K16" s="22">
        <f>+Tabla223252729[[#This Row],[Goles ]]+Tabla223252729[[#This Row],[Asistencias]]</f>
        <v>0</v>
      </c>
      <c r="L16" s="24">
        <f>+Tabla223252729[[#This Row],[Goles ]]/Tabla223252729[[#This Row],[Partidos jugados]]</f>
        <v>0</v>
      </c>
      <c r="M16" s="24">
        <f>+Tabla223252729[[#This Row],[Asistencias]]/Tabla223252729[[#This Row],[Partidos jugados]]</f>
        <v>0</v>
      </c>
      <c r="N16" s="24">
        <f>+Tabla223252729[[#This Row],[G+A]]/Tabla223252729[[#This Row],[Partidos jugados]]</f>
        <v>0</v>
      </c>
      <c r="O16" s="22">
        <v>2</v>
      </c>
      <c r="P16" s="22">
        <v>1</v>
      </c>
      <c r="Q16" s="22"/>
      <c r="R16" s="25"/>
      <c r="S16" s="25">
        <v>8.5</v>
      </c>
      <c r="T16" s="25">
        <v>7.25</v>
      </c>
      <c r="U16" s="25">
        <v>3</v>
      </c>
      <c r="V16" s="25">
        <v>7.75</v>
      </c>
      <c r="W16" s="25">
        <v>8</v>
      </c>
      <c r="X16" s="25">
        <v>8.5</v>
      </c>
      <c r="Y16" s="25">
        <v>9</v>
      </c>
      <c r="Z16" s="25">
        <v>7.25</v>
      </c>
      <c r="AA16" s="25">
        <v>9</v>
      </c>
      <c r="AB16" s="25">
        <v>8.5</v>
      </c>
      <c r="AC16" s="25">
        <v>6.5</v>
      </c>
      <c r="AD16" s="25">
        <v>5</v>
      </c>
      <c r="AE16" s="25">
        <v>4.5</v>
      </c>
      <c r="AF16" s="25">
        <v>8.5</v>
      </c>
      <c r="AG16" s="25">
        <v>9.25</v>
      </c>
      <c r="AH16" s="25"/>
      <c r="AI16" s="25">
        <v>8.25</v>
      </c>
      <c r="AJ16" s="25">
        <v>7.5</v>
      </c>
      <c r="AK16" s="25">
        <f>+SUM(Tabla223252729[[#This Row],[Notas J1]:[Notas J19]])/COUNTIF(Tabla223252729[[#This Row],[Notas J1]:[Notas J19]],"&gt;0")</f>
        <v>7.4264705882352944</v>
      </c>
      <c r="AL16" s="32" t="s">
        <v>23</v>
      </c>
    </row>
    <row r="17" spans="2:38" x14ac:dyDescent="0.35">
      <c r="B17" s="5" t="s">
        <v>101</v>
      </c>
      <c r="C17" s="26">
        <v>15</v>
      </c>
      <c r="D17" s="28">
        <f>+Tabla223252729[[#This Row],[Partidos jugados]]/$C$19</f>
        <v>0.78947368421052633</v>
      </c>
      <c r="E17" s="26">
        <v>9</v>
      </c>
      <c r="F17" s="26">
        <v>2</v>
      </c>
      <c r="G17" s="26">
        <v>4</v>
      </c>
      <c r="H17" s="26">
        <v>1</v>
      </c>
      <c r="I17" s="26"/>
      <c r="J17" s="26">
        <v>2</v>
      </c>
      <c r="K17" s="26">
        <f>+Tabla223252729[[#This Row],[Goles ]]+Tabla223252729[[#This Row],[Asistencias]]</f>
        <v>3</v>
      </c>
      <c r="L17" s="27">
        <f>+Tabla223252729[[#This Row],[Goles ]]/Tabla223252729[[#This Row],[Partidos jugados]]</f>
        <v>6.6666666666666666E-2</v>
      </c>
      <c r="M17" s="27">
        <f>+Tabla223252729[[#This Row],[Asistencias]]/Tabla223252729[[#This Row],[Partidos jugados]]</f>
        <v>0.13333333333333333</v>
      </c>
      <c r="N17" s="27">
        <f>+Tabla223252729[[#This Row],[G+A]]/Tabla223252729[[#This Row],[Partidos jugados]]</f>
        <v>0.2</v>
      </c>
      <c r="O17" s="26"/>
      <c r="P17" s="26"/>
      <c r="Q17" s="26"/>
      <c r="R17" s="29">
        <v>8.5</v>
      </c>
      <c r="S17" s="29">
        <v>8.5</v>
      </c>
      <c r="T17" s="29">
        <v>8</v>
      </c>
      <c r="U17" s="29">
        <v>3</v>
      </c>
      <c r="V17" s="29">
        <v>7.5</v>
      </c>
      <c r="W17" s="29">
        <v>7.25</v>
      </c>
      <c r="X17" s="29">
        <v>7</v>
      </c>
      <c r="Y17" s="29">
        <v>4.5</v>
      </c>
      <c r="Z17" s="29">
        <v>8.5</v>
      </c>
      <c r="AA17" s="29">
        <v>7</v>
      </c>
      <c r="AB17" s="29">
        <v>8.25</v>
      </c>
      <c r="AC17" s="29">
        <v>5</v>
      </c>
      <c r="AD17" s="29"/>
      <c r="AE17" s="29">
        <v>7.5</v>
      </c>
      <c r="AF17" s="29"/>
      <c r="AG17" s="29">
        <v>7</v>
      </c>
      <c r="AH17" s="29"/>
      <c r="AI17" s="29"/>
      <c r="AJ17" s="29">
        <v>8.5</v>
      </c>
      <c r="AK17" s="29">
        <f>+SUM(Tabla223252729[[#This Row],[Notas J1]:[Notas J19]])/COUNTIF(Tabla223252729[[#This Row],[Notas J1]:[Notas J19]],"&gt;0")</f>
        <v>7.0666666666666664</v>
      </c>
      <c r="AL17" s="32" t="s">
        <v>101</v>
      </c>
    </row>
    <row r="18" spans="2:38" x14ac:dyDescent="0.35">
      <c r="B18" s="5" t="s">
        <v>25</v>
      </c>
      <c r="C18" s="22">
        <v>1</v>
      </c>
      <c r="D18" s="23">
        <f>+Tabla223252729[[#This Row],[Partidos jugados]]/$C$19</f>
        <v>5.2631578947368418E-2</v>
      </c>
      <c r="E18" s="22"/>
      <c r="F18" s="22"/>
      <c r="G18" s="22">
        <v>1</v>
      </c>
      <c r="H18" s="22"/>
      <c r="I18" s="22"/>
      <c r="J18" s="22"/>
      <c r="K18" s="22">
        <f>+Tabla223252729[[#This Row],[Goles ]]+Tabla223252729[[#This Row],[Asistencias]]</f>
        <v>0</v>
      </c>
      <c r="L18" s="24">
        <f>+Tabla223252729[[#This Row],[Goles ]]/Tabla223252729[[#This Row],[Partidos jugados]]</f>
        <v>0</v>
      </c>
      <c r="M18" s="24">
        <f>+Tabla223252729[[#This Row],[Asistencias]]/Tabla223252729[[#This Row],[Partidos jugados]]</f>
        <v>0</v>
      </c>
      <c r="N18" s="24">
        <f>+Tabla223252729[[#This Row],[G+A]]/Tabla223252729[[#This Row],[Partidos jugados]]</f>
        <v>0</v>
      </c>
      <c r="O18" s="22"/>
      <c r="P18" s="22"/>
      <c r="Q18" s="22"/>
      <c r="R18" s="25"/>
      <c r="S18" s="25"/>
      <c r="T18" s="25"/>
      <c r="U18" s="25">
        <v>3</v>
      </c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>
        <f>+SUM(Tabla223252729[[#This Row],[Notas J1]:[Notas J19]])/COUNTIF(Tabla223252729[[#This Row],[Notas J1]:[Notas J19]],"&gt;0")</f>
        <v>3</v>
      </c>
      <c r="AL18" s="32" t="s">
        <v>25</v>
      </c>
    </row>
    <row r="19" spans="2:38" x14ac:dyDescent="0.35">
      <c r="B19" s="5" t="s">
        <v>32</v>
      </c>
      <c r="C19" s="12">
        <v>19</v>
      </c>
      <c r="D19" s="12">
        <f>+Tabla223252729[[#This Row],[Partidos jugados]]/$C$19</f>
        <v>1</v>
      </c>
      <c r="E19" s="12">
        <v>10</v>
      </c>
      <c r="F19" s="12">
        <v>3</v>
      </c>
      <c r="G19" s="12">
        <v>6</v>
      </c>
      <c r="H19" s="12">
        <f>+SUM(H4:H10)+SUM(H11:H15)+SUM(H17:H18)+H22+H21</f>
        <v>63</v>
      </c>
      <c r="I19" s="12">
        <f>+I16+H24</f>
        <v>45</v>
      </c>
      <c r="J19" s="12">
        <f>+SUM(J4:J18)+H23</f>
        <v>46</v>
      </c>
      <c r="K19" s="12"/>
      <c r="L19" s="13"/>
      <c r="M19" s="31"/>
      <c r="N19" s="13"/>
      <c r="O19" s="12"/>
      <c r="P19" s="12">
        <f>+SUM(P4:P18)+1</f>
        <v>16</v>
      </c>
      <c r="Q19" s="12">
        <f>+SUM(Q4:Q18)+1</f>
        <v>1</v>
      </c>
      <c r="R19" s="14">
        <v>9.25</v>
      </c>
      <c r="S19" s="14">
        <v>8</v>
      </c>
      <c r="T19" s="14">
        <v>6.75</v>
      </c>
      <c r="U19" s="14">
        <v>1</v>
      </c>
      <c r="V19" s="14">
        <v>7.5</v>
      </c>
      <c r="W19" s="14">
        <v>8.25</v>
      </c>
      <c r="X19" s="14">
        <v>7.5</v>
      </c>
      <c r="Y19" s="14">
        <v>4.75</v>
      </c>
      <c r="Z19" s="14">
        <v>7</v>
      </c>
      <c r="AA19" s="14">
        <v>7</v>
      </c>
      <c r="AB19" s="14">
        <v>8</v>
      </c>
      <c r="AC19" s="14">
        <v>3</v>
      </c>
      <c r="AD19" s="14">
        <v>6.5</v>
      </c>
      <c r="AE19" s="14">
        <v>4</v>
      </c>
      <c r="AF19" s="14">
        <v>9.25</v>
      </c>
      <c r="AG19" s="14">
        <v>6.25</v>
      </c>
      <c r="AH19" s="14">
        <v>7.5</v>
      </c>
      <c r="AI19" s="14">
        <v>6</v>
      </c>
      <c r="AJ19" s="14">
        <v>7.5</v>
      </c>
      <c r="AK19" s="14">
        <f>+SUM(Tabla223252729[[#This Row],[Notas J1]:[Notas J19]])/COUNTIF(Tabla223252729[[#This Row],[Notas J1]:[Notas J19]],"&gt;0")</f>
        <v>6.5789473684210522</v>
      </c>
      <c r="AL19" s="32" t="s">
        <v>79</v>
      </c>
    </row>
    <row r="21" spans="2:38" x14ac:dyDescent="0.35">
      <c r="G21" s="30" t="s">
        <v>80</v>
      </c>
      <c r="H21" s="30">
        <v>1</v>
      </c>
      <c r="I21" s="19"/>
    </row>
    <row r="22" spans="2:38" x14ac:dyDescent="0.35">
      <c r="D22" s="7"/>
      <c r="G22" s="30" t="s">
        <v>95</v>
      </c>
      <c r="H22" s="30">
        <v>6</v>
      </c>
    </row>
    <row r="23" spans="2:38" x14ac:dyDescent="0.35">
      <c r="D23" s="7"/>
      <c r="G23" s="30" t="s">
        <v>108</v>
      </c>
      <c r="H23" s="30">
        <v>3</v>
      </c>
    </row>
    <row r="24" spans="2:38" x14ac:dyDescent="0.35">
      <c r="B24" s="8" t="s">
        <v>33</v>
      </c>
      <c r="C24" s="6" t="s">
        <v>51</v>
      </c>
      <c r="D24" s="6"/>
      <c r="G24" s="30" t="s">
        <v>107</v>
      </c>
      <c r="H24" s="30">
        <v>2</v>
      </c>
    </row>
    <row r="25" spans="2:38" x14ac:dyDescent="0.35">
      <c r="B25" s="8" t="s">
        <v>34</v>
      </c>
      <c r="C25" s="6" t="s">
        <v>51</v>
      </c>
      <c r="D25" s="6"/>
    </row>
    <row r="26" spans="2:38" x14ac:dyDescent="0.35">
      <c r="B26" t="s">
        <v>50</v>
      </c>
      <c r="C26" s="7">
        <f>+H19-I19</f>
        <v>18</v>
      </c>
      <c r="D26" s="7"/>
    </row>
    <row r="30" spans="2:38" x14ac:dyDescent="0.35">
      <c r="B30" s="42" t="s">
        <v>109</v>
      </c>
      <c r="C30" s="42" t="s">
        <v>110</v>
      </c>
      <c r="D30" s="42" t="s">
        <v>111</v>
      </c>
      <c r="E30" s="42" t="s">
        <v>112</v>
      </c>
      <c r="F30" s="42" t="s">
        <v>52</v>
      </c>
    </row>
    <row r="31" spans="2:38" x14ac:dyDescent="0.35">
      <c r="B31" s="42" t="s">
        <v>105</v>
      </c>
      <c r="C31">
        <v>1</v>
      </c>
      <c r="D31">
        <v>1</v>
      </c>
      <c r="E31">
        <v>2</v>
      </c>
      <c r="F31">
        <v>9.25</v>
      </c>
    </row>
    <row r="32" spans="2:38" x14ac:dyDescent="0.35">
      <c r="B32" s="42" t="s">
        <v>106</v>
      </c>
      <c r="C32">
        <v>1</v>
      </c>
      <c r="D32">
        <v>2</v>
      </c>
      <c r="F32">
        <v>9.25</v>
      </c>
      <c r="G32" t="s">
        <v>119</v>
      </c>
    </row>
    <row r="33" spans="2:7" x14ac:dyDescent="0.35">
      <c r="B33" s="42" t="s">
        <v>113</v>
      </c>
      <c r="C33">
        <v>2</v>
      </c>
      <c r="D33">
        <v>1</v>
      </c>
      <c r="F33">
        <v>6.75</v>
      </c>
    </row>
    <row r="34" spans="2:7" x14ac:dyDescent="0.35">
      <c r="B34" s="42" t="s">
        <v>114</v>
      </c>
      <c r="C34">
        <v>1</v>
      </c>
      <c r="F34">
        <v>3.5</v>
      </c>
    </row>
    <row r="35" spans="2:7" x14ac:dyDescent="0.35">
      <c r="B35" s="42" t="s">
        <v>115</v>
      </c>
      <c r="C35">
        <v>1</v>
      </c>
      <c r="F35">
        <v>6</v>
      </c>
    </row>
    <row r="36" spans="2:7" x14ac:dyDescent="0.35">
      <c r="B36" s="42" t="s">
        <v>116</v>
      </c>
      <c r="C36">
        <v>1</v>
      </c>
      <c r="D36">
        <v>1</v>
      </c>
      <c r="F36">
        <v>8</v>
      </c>
      <c r="G36" t="s">
        <v>118</v>
      </c>
    </row>
    <row r="39" spans="2:7" x14ac:dyDescent="0.35">
      <c r="B39" s="43" t="s">
        <v>117</v>
      </c>
      <c r="C39" s="43" t="s">
        <v>110</v>
      </c>
      <c r="D39" s="43" t="s">
        <v>111</v>
      </c>
      <c r="E39" s="43" t="s">
        <v>112</v>
      </c>
      <c r="F39" s="43" t="s">
        <v>52</v>
      </c>
    </row>
    <row r="40" spans="2:7" x14ac:dyDescent="0.35">
      <c r="B40" s="43" t="s">
        <v>86</v>
      </c>
      <c r="C40">
        <v>2</v>
      </c>
      <c r="F40">
        <f>+(7+6)/2</f>
        <v>6.5</v>
      </c>
    </row>
    <row r="41" spans="2:7" x14ac:dyDescent="0.35">
      <c r="B41" s="43" t="s">
        <v>77</v>
      </c>
      <c r="C41">
        <v>2</v>
      </c>
      <c r="E41">
        <v>1</v>
      </c>
      <c r="F41">
        <v>9</v>
      </c>
    </row>
  </sheetData>
  <mergeCells count="1">
    <mergeCell ref="P2:Q2"/>
  </mergeCells>
  <phoneticPr fontId="4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69A3-90F5-407F-9A95-D7FFFE4A5CCB}">
  <dimension ref="B2:Q25"/>
  <sheetViews>
    <sheetView zoomScale="55" zoomScaleNormal="55" workbookViewId="0">
      <selection activeCell="O21" sqref="O21"/>
    </sheetView>
  </sheetViews>
  <sheetFormatPr baseColWidth="10" defaultRowHeight="14.5" x14ac:dyDescent="0.35"/>
  <cols>
    <col min="2" max="2" width="15.6328125" bestFit="1" customWidth="1"/>
    <col min="3" max="3" width="20.90625" bestFit="1" customWidth="1"/>
    <col min="4" max="4" width="19.26953125" bestFit="1" customWidth="1"/>
    <col min="5" max="5" width="20.90625" bestFit="1" customWidth="1"/>
    <col min="6" max="6" width="16.7265625" bestFit="1" customWidth="1"/>
    <col min="14" max="15" width="25.81640625" customWidth="1"/>
    <col min="16" max="16" width="22.1796875" customWidth="1"/>
    <col min="17" max="17" width="15.1796875" customWidth="1"/>
  </cols>
  <sheetData>
    <row r="2" spans="2:17" x14ac:dyDescent="0.35">
      <c r="L2" s="36" t="s">
        <v>26</v>
      </c>
      <c r="M2" s="37"/>
      <c r="N2" s="18"/>
      <c r="O2" s="18"/>
      <c r="P2" s="18"/>
    </row>
    <row r="3" spans="2:17" x14ac:dyDescent="0.35">
      <c r="B3" s="5" t="s">
        <v>0</v>
      </c>
      <c r="C3" s="5" t="s">
        <v>97</v>
      </c>
      <c r="D3" s="5" t="s">
        <v>91</v>
      </c>
      <c r="E3" s="5" t="s">
        <v>90</v>
      </c>
      <c r="F3" s="5" t="s">
        <v>1</v>
      </c>
      <c r="G3" s="5" t="s">
        <v>73</v>
      </c>
      <c r="H3" s="5" t="s">
        <v>2</v>
      </c>
      <c r="I3" s="5" t="s">
        <v>3</v>
      </c>
      <c r="J3" s="5" t="s">
        <v>4</v>
      </c>
      <c r="K3" s="5" t="s">
        <v>29</v>
      </c>
      <c r="L3" s="5" t="s">
        <v>27</v>
      </c>
      <c r="M3" s="5" t="s">
        <v>28</v>
      </c>
      <c r="N3" s="5" t="s">
        <v>98</v>
      </c>
      <c r="O3" s="5" t="s">
        <v>103</v>
      </c>
      <c r="P3" s="5" t="s">
        <v>52</v>
      </c>
      <c r="Q3" s="5" t="s">
        <v>75</v>
      </c>
    </row>
    <row r="4" spans="2:17" x14ac:dyDescent="0.35">
      <c r="B4" s="5" t="s">
        <v>9</v>
      </c>
      <c r="C4" s="22">
        <v>1</v>
      </c>
      <c r="D4" s="22">
        <v>2</v>
      </c>
      <c r="E4" s="22"/>
      <c r="F4" s="22"/>
      <c r="G4" s="22">
        <f>+Tabla2232527294[[#This Row],[Goles ]]+Tabla2232527294[[#This Row],[Asistencias]]</f>
        <v>2</v>
      </c>
      <c r="H4" s="24">
        <f>+Tabla2232527294[[#This Row],[Goles ]]/Tabla2232527294[[#This Row],[Participaciones]]</f>
        <v>2</v>
      </c>
      <c r="I4" s="24">
        <f>+Tabla2232527294[[#This Row],[Asistencias]]/Tabla2232527294[[#This Row],[Participaciones]]</f>
        <v>0</v>
      </c>
      <c r="J4" s="24">
        <f>+Tabla2232527294[[#This Row],[G+A]]/Tabla2232527294[[#This Row],[Participaciones]]</f>
        <v>2</v>
      </c>
      <c r="K4" s="22"/>
      <c r="L4" s="22"/>
      <c r="M4" s="22"/>
      <c r="N4" s="25">
        <v>9.25</v>
      </c>
      <c r="O4" s="25"/>
      <c r="P4" s="25">
        <f>+Tabla2232527294[[#This Row],[Notas Llano Ñopo]]</f>
        <v>9.25</v>
      </c>
      <c r="Q4" s="32" t="s">
        <v>9</v>
      </c>
    </row>
    <row r="5" spans="2:17" x14ac:dyDescent="0.35">
      <c r="B5" s="5" t="s">
        <v>11</v>
      </c>
      <c r="C5" s="26">
        <v>2</v>
      </c>
      <c r="D5" s="26"/>
      <c r="E5" s="26"/>
      <c r="F5" s="26"/>
      <c r="G5" s="26">
        <f>+Tabla2232527294[[#This Row],[Goles ]]+Tabla2232527294[[#This Row],[Asistencias]]</f>
        <v>0</v>
      </c>
      <c r="H5" s="27">
        <f>+Tabla2232527294[[#This Row],[Goles ]]/Tabla2232527294[[#This Row],[Participaciones]]</f>
        <v>0</v>
      </c>
      <c r="I5" s="27">
        <f>+Tabla2232527294[[#This Row],[Asistencias]]/Tabla2232527294[[#This Row],[Participaciones]]</f>
        <v>0</v>
      </c>
      <c r="J5" s="27">
        <f>+Tabla2232527294[[#This Row],[G+A]]/Tabla2232527294[[#This Row],[Participaciones]]</f>
        <v>0</v>
      </c>
      <c r="K5" s="26"/>
      <c r="L5" s="26"/>
      <c r="M5" s="26"/>
      <c r="N5" s="29">
        <v>6.5</v>
      </c>
      <c r="O5" s="29"/>
      <c r="P5" s="29">
        <f>+Tabla2232527294[[#This Row],[Notas Llano Ñopo]]</f>
        <v>6.5</v>
      </c>
      <c r="Q5" s="32" t="s">
        <v>11</v>
      </c>
    </row>
    <row r="6" spans="2:17" x14ac:dyDescent="0.35">
      <c r="B6" s="5" t="s">
        <v>12</v>
      </c>
      <c r="C6" s="22">
        <v>2</v>
      </c>
      <c r="D6" s="22">
        <v>1</v>
      </c>
      <c r="E6" s="22"/>
      <c r="F6" s="22">
        <v>4</v>
      </c>
      <c r="G6" s="22">
        <f>+Tabla2232527294[[#This Row],[Goles ]]+Tabla2232527294[[#This Row],[Asistencias]]</f>
        <v>5</v>
      </c>
      <c r="H6" s="22"/>
      <c r="I6" s="24"/>
      <c r="J6" s="24"/>
      <c r="K6" s="22"/>
      <c r="L6" s="22"/>
      <c r="M6" s="22"/>
      <c r="N6" s="25">
        <v>9</v>
      </c>
      <c r="O6" s="25"/>
      <c r="P6" s="25">
        <f>+Tabla2232527294[[#This Row],[Notas Llano Ñopo]]</f>
        <v>9</v>
      </c>
      <c r="Q6" s="32" t="s">
        <v>12</v>
      </c>
    </row>
    <row r="7" spans="2:17" x14ac:dyDescent="0.35">
      <c r="B7" s="5" t="s">
        <v>13</v>
      </c>
      <c r="C7" s="26">
        <v>1</v>
      </c>
      <c r="D7" s="26"/>
      <c r="E7" s="26"/>
      <c r="F7" s="26"/>
      <c r="G7" s="26">
        <f>+Tabla2232527294[[#This Row],[Goles ]]+Tabla2232527294[[#This Row],[Asistencias]]</f>
        <v>0</v>
      </c>
      <c r="H7" s="27"/>
      <c r="I7" s="27"/>
      <c r="J7" s="27"/>
      <c r="K7" s="26"/>
      <c r="L7" s="26"/>
      <c r="M7" s="26"/>
      <c r="N7" s="29"/>
      <c r="O7" s="29"/>
      <c r="P7" s="29"/>
      <c r="Q7" s="32" t="s">
        <v>13</v>
      </c>
    </row>
    <row r="8" spans="2:17" x14ac:dyDescent="0.35">
      <c r="B8" s="5" t="s">
        <v>14</v>
      </c>
      <c r="C8" s="22">
        <v>2</v>
      </c>
      <c r="D8" s="22">
        <v>7</v>
      </c>
      <c r="E8" s="22"/>
      <c r="F8" s="22">
        <v>3</v>
      </c>
      <c r="G8" s="22">
        <f>+Tabla2232527294[[#This Row],[Goles ]]+Tabla2232527294[[#This Row],[Asistencias]]</f>
        <v>10</v>
      </c>
      <c r="H8" s="24">
        <f>+Tabla2232527294[[#This Row],[Goles ]]/Tabla2232527294[[#This Row],[Participaciones]]</f>
        <v>3.5</v>
      </c>
      <c r="I8" s="24">
        <f>+Tabla2232527294[[#This Row],[Asistencias]]/Tabla2232527294[[#This Row],[Participaciones]]</f>
        <v>1.5</v>
      </c>
      <c r="J8" s="24">
        <f>+Tabla2232527294[[#This Row],[G+A]]/Tabla2232527294[[#This Row],[Participaciones]]</f>
        <v>5</v>
      </c>
      <c r="K8" s="22">
        <v>1</v>
      </c>
      <c r="L8" s="22"/>
      <c r="M8" s="22"/>
      <c r="N8" s="25">
        <v>9.75</v>
      </c>
      <c r="O8" s="25"/>
      <c r="P8" s="25">
        <f>+Tabla2232527294[[#This Row],[Notas Llano Ñopo]]</f>
        <v>9.75</v>
      </c>
      <c r="Q8" s="32" t="s">
        <v>14</v>
      </c>
    </row>
    <row r="9" spans="2:17" x14ac:dyDescent="0.35">
      <c r="B9" s="5" t="s">
        <v>15</v>
      </c>
      <c r="C9" s="26">
        <v>1</v>
      </c>
      <c r="D9" s="26">
        <v>1</v>
      </c>
      <c r="E9" s="26"/>
      <c r="F9" s="26"/>
      <c r="G9" s="26">
        <f>+Tabla2232527294[[#This Row],[Goles ]]+Tabla2232527294[[#This Row],[Asistencias]]</f>
        <v>1</v>
      </c>
      <c r="H9" s="27"/>
      <c r="I9" s="27"/>
      <c r="J9" s="27"/>
      <c r="K9" s="26"/>
      <c r="L9" s="26"/>
      <c r="M9" s="26"/>
      <c r="N9" s="29"/>
      <c r="O9" s="29"/>
      <c r="P9" s="29"/>
      <c r="Q9" s="32" t="s">
        <v>15</v>
      </c>
    </row>
    <row r="10" spans="2:17" x14ac:dyDescent="0.35">
      <c r="B10" s="5" t="s">
        <v>31</v>
      </c>
      <c r="C10" s="22">
        <v>2</v>
      </c>
      <c r="D10" s="22">
        <v>1</v>
      </c>
      <c r="E10" s="22"/>
      <c r="F10" s="22">
        <v>1</v>
      </c>
      <c r="G10" s="22">
        <f>+Tabla2232527294[[#This Row],[Goles ]]+Tabla2232527294[[#This Row],[Asistencias]]</f>
        <v>2</v>
      </c>
      <c r="H10" s="24">
        <f>+Tabla2232527294[[#This Row],[Goles ]]/Tabla2232527294[[#This Row],[Participaciones]]</f>
        <v>0.5</v>
      </c>
      <c r="I10" s="24">
        <f>+Tabla2232527294[[#This Row],[Asistencias]]/Tabla2232527294[[#This Row],[Participaciones]]</f>
        <v>0.5</v>
      </c>
      <c r="J10" s="24">
        <f>+Tabla2232527294[[#This Row],[G+A]]/Tabla2232527294[[#This Row],[Participaciones]]</f>
        <v>1</v>
      </c>
      <c r="K10" s="22"/>
      <c r="L10" s="22"/>
      <c r="M10" s="22"/>
      <c r="N10" s="25">
        <v>6.75</v>
      </c>
      <c r="O10" s="25"/>
      <c r="P10" s="25">
        <f>+Tabla2232527294[[#This Row],[Notas Llano Ñopo]]</f>
        <v>6.75</v>
      </c>
      <c r="Q10" s="32" t="s">
        <v>31</v>
      </c>
    </row>
    <row r="11" spans="2:17" x14ac:dyDescent="0.35">
      <c r="B11" s="5" t="s">
        <v>17</v>
      </c>
      <c r="C11" s="26">
        <v>2</v>
      </c>
      <c r="D11" s="26">
        <v>1</v>
      </c>
      <c r="E11" s="26"/>
      <c r="F11" s="26">
        <v>1</v>
      </c>
      <c r="G11" s="26">
        <f>+Tabla2232527294[[#This Row],[Goles ]]+Tabla2232527294[[#This Row],[Asistencias]]</f>
        <v>2</v>
      </c>
      <c r="H11" s="27">
        <f>+Tabla2232527294[[#This Row],[Goles ]]/Tabla2232527294[[#This Row],[Participaciones]]</f>
        <v>0.5</v>
      </c>
      <c r="I11" s="27">
        <f>+Tabla2232527294[[#This Row],[Asistencias]]/Tabla2232527294[[#This Row],[Participaciones]]</f>
        <v>0.5</v>
      </c>
      <c r="J11" s="27">
        <f>+Tabla2232527294[[#This Row],[G+A]]/Tabla2232527294[[#This Row],[Participaciones]]</f>
        <v>1</v>
      </c>
      <c r="K11" s="26"/>
      <c r="L11" s="26"/>
      <c r="M11" s="26"/>
      <c r="N11" s="29">
        <v>8</v>
      </c>
      <c r="O11" s="29"/>
      <c r="P11" s="29">
        <f>+Tabla2232527294[[#This Row],[Notas Llano Ñopo]]</f>
        <v>8</v>
      </c>
      <c r="Q11" s="32" t="s">
        <v>17</v>
      </c>
    </row>
    <row r="12" spans="2:17" x14ac:dyDescent="0.35">
      <c r="B12" s="5" t="s">
        <v>18</v>
      </c>
      <c r="C12" s="22"/>
      <c r="D12" s="24"/>
      <c r="E12" s="24"/>
      <c r="F12" s="24"/>
      <c r="G12" s="22">
        <f>+Tabla2232527294[[#This Row],[Goles ]]+Tabla2232527294[[#This Row],[Asistencias]]</f>
        <v>0</v>
      </c>
      <c r="H12" s="24"/>
      <c r="I12" s="24"/>
      <c r="J12" s="24"/>
      <c r="K12" s="24"/>
      <c r="L12" s="24"/>
      <c r="M12" s="24"/>
      <c r="N12" s="25"/>
      <c r="O12" s="25"/>
      <c r="P12" s="25"/>
      <c r="Q12" s="32" t="s">
        <v>18</v>
      </c>
    </row>
    <row r="13" spans="2:17" x14ac:dyDescent="0.35">
      <c r="B13" s="5" t="s">
        <v>19</v>
      </c>
      <c r="C13" s="26">
        <v>1</v>
      </c>
      <c r="D13" s="26">
        <v>1</v>
      </c>
      <c r="E13" s="26"/>
      <c r="F13" s="26"/>
      <c r="G13" s="26">
        <f>+Tabla2232527294[[#This Row],[Goles ]]+Tabla2232527294[[#This Row],[Asistencias]]</f>
        <v>1</v>
      </c>
      <c r="H13" s="27"/>
      <c r="I13" s="27"/>
      <c r="J13" s="27"/>
      <c r="K13" s="26"/>
      <c r="L13" s="26"/>
      <c r="M13" s="26"/>
      <c r="N13" s="29">
        <v>8.25</v>
      </c>
      <c r="O13" s="29"/>
      <c r="P13" s="29">
        <f>+Tabla2232527294[[#This Row],[Notas Llano Ñopo]]</f>
        <v>8.25</v>
      </c>
      <c r="Q13" s="32" t="s">
        <v>19</v>
      </c>
    </row>
    <row r="14" spans="2:17" x14ac:dyDescent="0.35">
      <c r="B14" s="5" t="s">
        <v>20</v>
      </c>
      <c r="C14" s="22">
        <v>1</v>
      </c>
      <c r="D14" s="22"/>
      <c r="E14" s="22"/>
      <c r="F14" s="22"/>
      <c r="G14" s="22">
        <f>+Tabla2232527294[[#This Row],[Goles ]]+Tabla2232527294[[#This Row],[Asistencias]]</f>
        <v>0</v>
      </c>
      <c r="H14" s="24"/>
      <c r="I14" s="24"/>
      <c r="J14" s="24"/>
      <c r="K14" s="22"/>
      <c r="L14" s="22"/>
      <c r="M14" s="22"/>
      <c r="N14" s="25">
        <v>7.5</v>
      </c>
      <c r="O14" s="25"/>
      <c r="P14" s="25">
        <f>+Tabla2232527294[[#This Row],[Notas Llano Ñopo]]</f>
        <v>7.5</v>
      </c>
      <c r="Q14" s="32" t="s">
        <v>20</v>
      </c>
    </row>
    <row r="15" spans="2:17" x14ac:dyDescent="0.35">
      <c r="B15" s="5" t="s">
        <v>21</v>
      </c>
      <c r="C15" s="26"/>
      <c r="D15" s="26"/>
      <c r="E15" s="26"/>
      <c r="F15" s="26"/>
      <c r="G15" s="26">
        <f>+Tabla2232527294[[#This Row],[Goles ]]+Tabla2232527294[[#This Row],[Asistencias]]</f>
        <v>0</v>
      </c>
      <c r="H15" s="27"/>
      <c r="I15" s="27"/>
      <c r="J15" s="27"/>
      <c r="K15" s="26"/>
      <c r="L15" s="26"/>
      <c r="M15" s="26"/>
      <c r="N15" s="29"/>
      <c r="O15" s="29"/>
      <c r="P15" s="29"/>
      <c r="Q15" s="32" t="s">
        <v>21</v>
      </c>
    </row>
    <row r="16" spans="2:17" x14ac:dyDescent="0.35">
      <c r="B16" s="5" t="s">
        <v>23</v>
      </c>
      <c r="C16" s="22">
        <v>2</v>
      </c>
      <c r="D16" s="22"/>
      <c r="E16" s="22">
        <v>6</v>
      </c>
      <c r="F16" s="22">
        <v>2</v>
      </c>
      <c r="G16" s="22">
        <f>+Tabla2232527294[[#This Row],[Goles ]]+Tabla2232527294[[#This Row],[Asistencias]]</f>
        <v>2</v>
      </c>
      <c r="H16" s="24"/>
      <c r="I16" s="24"/>
      <c r="J16" s="24"/>
      <c r="K16" s="22"/>
      <c r="L16" s="22"/>
      <c r="M16" s="22"/>
      <c r="N16" s="25">
        <v>9</v>
      </c>
      <c r="O16" s="25"/>
      <c r="P16" s="25">
        <f>+Tabla2232527294[[#This Row],[Notas Llano Ñopo]]</f>
        <v>9</v>
      </c>
      <c r="Q16" s="32" t="s">
        <v>23</v>
      </c>
    </row>
    <row r="17" spans="2:17" x14ac:dyDescent="0.35">
      <c r="B17" s="5" t="s">
        <v>24</v>
      </c>
      <c r="C17" s="26">
        <v>2</v>
      </c>
      <c r="D17" s="26"/>
      <c r="E17" s="26"/>
      <c r="F17" s="26"/>
      <c r="G17" s="26">
        <f>+Tabla2232527294[[#This Row],[Goles ]]+Tabla2232527294[[#This Row],[Asistencias]]</f>
        <v>0</v>
      </c>
      <c r="H17" s="27">
        <f>+Tabla2232527294[[#This Row],[Goles ]]/Tabla2232527294[[#This Row],[Participaciones]]</f>
        <v>0</v>
      </c>
      <c r="I17" s="27">
        <f>+Tabla2232527294[[#This Row],[Asistencias]]/Tabla2232527294[[#This Row],[Participaciones]]</f>
        <v>0</v>
      </c>
      <c r="J17" s="27">
        <f>+Tabla2232527294[[#This Row],[G+A]]/Tabla2232527294[[#This Row],[Participaciones]]</f>
        <v>0</v>
      </c>
      <c r="K17" s="26"/>
      <c r="L17" s="26"/>
      <c r="M17" s="26"/>
      <c r="N17" s="29">
        <v>8.5</v>
      </c>
      <c r="O17" s="29"/>
      <c r="P17" s="29">
        <f>+Tabla2232527294[[#This Row],[Notas Llano Ñopo]]</f>
        <v>8.5</v>
      </c>
      <c r="Q17" s="32" t="s">
        <v>24</v>
      </c>
    </row>
    <row r="18" spans="2:17" x14ac:dyDescent="0.35">
      <c r="B18" s="5" t="s">
        <v>25</v>
      </c>
      <c r="C18" s="22"/>
      <c r="D18" s="22"/>
      <c r="E18" s="22"/>
      <c r="F18" s="22"/>
      <c r="G18" s="22">
        <f>+Tabla2232527294[[#This Row],[Goles ]]+Tabla2232527294[[#This Row],[Asistencias]]</f>
        <v>0</v>
      </c>
      <c r="H18" s="24"/>
      <c r="I18" s="24"/>
      <c r="J18" s="24"/>
      <c r="K18" s="22"/>
      <c r="L18" s="22"/>
      <c r="M18" s="22"/>
      <c r="N18" s="25"/>
      <c r="O18" s="25"/>
      <c r="P18" s="25"/>
      <c r="Q18" s="32" t="s">
        <v>25</v>
      </c>
    </row>
    <row r="19" spans="2:17" x14ac:dyDescent="0.35">
      <c r="B19" s="5" t="s">
        <v>32</v>
      </c>
      <c r="C19" s="12">
        <f>+MAX(C4:C18)</f>
        <v>2</v>
      </c>
      <c r="D19" s="12">
        <f>+SUM(D4:D10)+SUM(D11:D15)+SUM(D17:D18)+D22+D21</f>
        <v>14</v>
      </c>
      <c r="E19" s="12">
        <f>+E16</f>
        <v>6</v>
      </c>
      <c r="F19" s="12">
        <f>+SUM(F4:F18)</f>
        <v>11</v>
      </c>
      <c r="G19" s="12"/>
      <c r="H19" s="13"/>
      <c r="I19" s="31"/>
      <c r="J19" s="13"/>
      <c r="K19" s="12"/>
      <c r="L19" s="12">
        <f>+SUM(L4:L18)</f>
        <v>0</v>
      </c>
      <c r="M19" s="12">
        <f>+SUM(M4:M18)</f>
        <v>0</v>
      </c>
      <c r="N19" s="14">
        <v>9.25</v>
      </c>
      <c r="O19" s="14"/>
      <c r="P19" s="14">
        <f>+Tabla2232527294[[#This Row],[Notas Llano Ñopo]]</f>
        <v>9.25</v>
      </c>
      <c r="Q19" s="32" t="s">
        <v>79</v>
      </c>
    </row>
    <row r="20" spans="2:17" ht="16" x14ac:dyDescent="0.4">
      <c r="N20" s="33" t="s">
        <v>99</v>
      </c>
      <c r="O20" s="35" t="s">
        <v>104</v>
      </c>
    </row>
    <row r="21" spans="2:17" x14ac:dyDescent="0.35">
      <c r="D21" s="19"/>
      <c r="E21" s="19"/>
    </row>
    <row r="22" spans="2:17" x14ac:dyDescent="0.35">
      <c r="D22" s="19"/>
    </row>
    <row r="23" spans="2:17" x14ac:dyDescent="0.35">
      <c r="B23" s="8" t="s">
        <v>33</v>
      </c>
      <c r="C23" s="6" t="s">
        <v>51</v>
      </c>
    </row>
    <row r="24" spans="2:17" x14ac:dyDescent="0.35">
      <c r="B24" s="8" t="s">
        <v>34</v>
      </c>
      <c r="C24" s="6" t="s">
        <v>102</v>
      </c>
    </row>
    <row r="25" spans="2:17" x14ac:dyDescent="0.35">
      <c r="B25" t="s">
        <v>50</v>
      </c>
      <c r="C25" s="7">
        <f>+D19-E19</f>
        <v>8</v>
      </c>
    </row>
  </sheetData>
  <mergeCells count="1">
    <mergeCell ref="L2:M2"/>
  </mergeCell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CA76F-8F85-471D-80BF-8AC347B126C5}">
  <dimension ref="B4:T22"/>
  <sheetViews>
    <sheetView zoomScale="70" zoomScaleNormal="70" workbookViewId="0">
      <selection activeCell="K14" sqref="K14"/>
    </sheetView>
  </sheetViews>
  <sheetFormatPr baseColWidth="10" defaultRowHeight="14.5" x14ac:dyDescent="0.35"/>
  <cols>
    <col min="3" max="3" width="11.08984375" bestFit="1" customWidth="1"/>
    <col min="4" max="4" width="12.90625" bestFit="1" customWidth="1"/>
    <col min="9" max="9" width="15" bestFit="1" customWidth="1"/>
    <col min="10" max="10" width="12.08984375" bestFit="1" customWidth="1"/>
    <col min="11" max="11" width="12.81640625" bestFit="1" customWidth="1"/>
    <col min="12" max="12" width="12.453125" bestFit="1" customWidth="1"/>
    <col min="13" max="13" width="11.7265625" bestFit="1" customWidth="1"/>
    <col min="14" max="14" width="8.90625" bestFit="1" customWidth="1"/>
    <col min="16" max="16" width="22.1796875" bestFit="1" customWidth="1"/>
    <col min="19" max="19" width="16.08984375" bestFit="1" customWidth="1"/>
    <col min="20" max="20" width="13.08984375" bestFit="1" customWidth="1"/>
  </cols>
  <sheetData>
    <row r="4" spans="2:20" x14ac:dyDescent="0.35"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34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54</v>
      </c>
      <c r="Q4" t="s">
        <v>47</v>
      </c>
      <c r="R4" t="s">
        <v>48</v>
      </c>
      <c r="S4" t="s">
        <v>49</v>
      </c>
      <c r="T4" t="s">
        <v>55</v>
      </c>
    </row>
    <row r="5" spans="2:20" x14ac:dyDescent="0.35">
      <c r="B5" s="9" t="s">
        <v>9</v>
      </c>
    </row>
    <row r="6" spans="2:20" x14ac:dyDescent="0.35">
      <c r="B6" s="9" t="s">
        <v>10</v>
      </c>
    </row>
    <row r="7" spans="2:20" x14ac:dyDescent="0.35">
      <c r="B7" s="9" t="s">
        <v>11</v>
      </c>
    </row>
    <row r="8" spans="2:20" x14ac:dyDescent="0.35">
      <c r="B8" s="9" t="s">
        <v>12</v>
      </c>
    </row>
    <row r="9" spans="2:20" x14ac:dyDescent="0.35">
      <c r="B9" s="9" t="s">
        <v>13</v>
      </c>
    </row>
    <row r="10" spans="2:20" x14ac:dyDescent="0.35">
      <c r="B10" s="9" t="s">
        <v>14</v>
      </c>
      <c r="Q10" s="19"/>
    </row>
    <row r="11" spans="2:20" x14ac:dyDescent="0.35">
      <c r="B11" s="9" t="s">
        <v>15</v>
      </c>
    </row>
    <row r="12" spans="2:20" x14ac:dyDescent="0.35">
      <c r="B12" s="9" t="s">
        <v>31</v>
      </c>
    </row>
    <row r="13" spans="2:20" x14ac:dyDescent="0.35">
      <c r="B13" s="9" t="s">
        <v>16</v>
      </c>
    </row>
    <row r="14" spans="2:20" x14ac:dyDescent="0.35">
      <c r="B14" s="9" t="s">
        <v>17</v>
      </c>
    </row>
    <row r="15" spans="2:20" x14ac:dyDescent="0.35">
      <c r="B15" s="9" t="s">
        <v>18</v>
      </c>
    </row>
    <row r="16" spans="2:20" x14ac:dyDescent="0.35">
      <c r="B16" s="9" t="s">
        <v>19</v>
      </c>
    </row>
    <row r="17" spans="2:18" x14ac:dyDescent="0.35">
      <c r="B17" s="9" t="s">
        <v>20</v>
      </c>
    </row>
    <row r="18" spans="2:18" x14ac:dyDescent="0.35">
      <c r="B18" s="9" t="s">
        <v>21</v>
      </c>
    </row>
    <row r="19" spans="2:18" x14ac:dyDescent="0.35">
      <c r="B19" s="9" t="s">
        <v>22</v>
      </c>
    </row>
    <row r="20" spans="2:18" x14ac:dyDescent="0.35">
      <c r="B20" s="9" t="s">
        <v>23</v>
      </c>
    </row>
    <row r="21" spans="2:18" x14ac:dyDescent="0.35">
      <c r="B21" s="9" t="s">
        <v>24</v>
      </c>
    </row>
    <row r="22" spans="2:18" x14ac:dyDescent="0.35">
      <c r="B22" s="9" t="s">
        <v>25</v>
      </c>
      <c r="R22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TEMPORADA 24-25</vt:lpstr>
      <vt:lpstr>LIGA 24-25</vt:lpstr>
      <vt:lpstr>COPA 24-25</vt:lpstr>
      <vt:lpstr>LIGA 25-26</vt:lpstr>
      <vt:lpstr>TORNEOS 25-26</vt:lpstr>
      <vt:lpstr>PORRA AWARDS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Menendez</dc:creator>
  <cp:lastModifiedBy>Javier Menendez</cp:lastModifiedBy>
  <dcterms:created xsi:type="dcterms:W3CDTF">2024-10-07T10:31:25Z</dcterms:created>
  <dcterms:modified xsi:type="dcterms:W3CDTF">2026-03-30T01:56:04Z</dcterms:modified>
</cp:coreProperties>
</file>